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f7adcf791dd48d6" /></Relationships>
</file>

<file path=xl/workbook.xml><?xml version="1.0" encoding="utf-8"?>
<x:workbook xmlns:x="http://schemas.openxmlformats.org/spreadsheetml/2006/main">
  <x:sheets>
    <x:sheet xmlns:r="http://schemas.openxmlformats.org/officeDocument/2006/relationships" name="Báo cáo" sheetId="1" r:id="R1ea72f58e54543e1"/>
    <x:sheet xmlns:r="http://schemas.openxmlformats.org/officeDocument/2006/relationships" name="Bảng số liệu" sheetId="2" r:id="Rb1b82d4b73374d3f"/>
    <x:sheet xmlns:r="http://schemas.openxmlformats.org/officeDocument/2006/relationships" name="Dữ liệu ẩn danh" sheetId="3" r:id="R7850ab4cf2b74458"/>
    <x:sheet xmlns:r="http://schemas.openxmlformats.org/officeDocument/2006/relationships" name="Ma trận nhị phân" sheetId="4" r:id="R0f8eabe7f1424c2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0">
    <x:font>
      <x:sz val="11"/>
      <x:name val="Carlito"/>
    </x:font>
    <x:font>
      <x:sz val="10"/>
      <x:color rgb="FF1F2937"/>
      <x:name val="Arial"/>
    </x:font>
    <x:font>
      <x:b/>
      <x:sz val="10"/>
      <x:color rgb="FFFFFFFF"/>
      <x:name val="Arial"/>
    </x:font>
    <x:font>
      <x:b/>
      <x:sz val="14"/>
      <x:color rgb="FF17365D"/>
      <x:name val="Arial"/>
    </x:font>
    <x:font>
      <x:b/>
      <x:sz val="9"/>
      <x:color rgb="FFFFFFFF"/>
      <x:name val="Arial"/>
    </x:font>
    <x:font>
      <x:b/>
      <x:sz val="16"/>
      <x:color rgb="FF17365D"/>
      <x:name val="Arial"/>
    </x:font>
    <x:font>
      <x:i/>
      <x:sz val="10"/>
      <x:color rgb="FF64748B"/>
      <x:name val="Arial"/>
    </x:font>
    <x:font>
      <x:b/>
      <x:sz val="10"/>
      <x:color rgb="FF1F2937"/>
      <x:name val="Arial"/>
    </x:font>
    <x:font>
      <x:b/>
      <x:sz val="11"/>
      <x:color rgb="FFFFFFFF"/>
      <x:name val="Arial"/>
    </x:font>
    <x:font>
      <x:i/>
      <x:sz val="9"/>
      <x:color rgb="FF64748B"/>
      <x:name val="Arial"/>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DF4FB"/>
      </x:patternFill>
    </x:fill>
    <x:fill>
      <x:patternFill patternType="solid">
        <x:fgColor rgb="FFFFF2CC"/>
      </x:patternFill>
    </x:fill>
    <x:fill>
      <x:patternFill patternType="solid">
        <x:fgColor rgb="FF4472C4"/>
      </x:patternFill>
    </x:fill>
  </x:fills>
  <x:borders count="15">
    <x:border/>
    <x:border>
      <x:right style="thin">
        <x:color rgb="FFFFFFFF"/>
      </x:right>
    </x:border>
    <x:border>
      <x:left style="thin">
        <x:color rgb="FFFFFFFF"/>
      </x:left>
      <x:right style="thin">
        <x:color rgb="FFFFFFFF"/>
      </x:right>
    </x:border>
    <x:border>
      <x:left style="thin">
        <x:color rgb="FFFFFFFF"/>
      </x:left>
    </x:border>
    <x:border>
      <x:bottom style="thin">
        <x:color rgb="FFE2E8F0"/>
      </x:bottom>
    </x:border>
    <x:border>
      <x:top style="thin">
        <x:color rgb="FFE2E8F0"/>
      </x:top>
      <x:bottom style="thin">
        <x:color rgb="FFE2E8F0"/>
      </x:bottom>
    </x:border>
    <x:border>
      <x:top style="thin">
        <x:color rgb="FFE2E8F0"/>
      </x:top>
    </x:border>
    <x:border>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right style="thin">
        <x:color rgb="FFCBD5E1"/>
      </x:right>
      <x:bottom style="thin">
        <x:color rgb="FFCBD5E1"/>
      </x:bottom>
    </x:border>
  </x:borders>
  <x:cellStyleXfs count="1">
    <x:xf numFmtId="0" fontId="0" fillId="0" borderId="0"/>
  </x:cellStyleXfs>
  <x:cellXfs count="21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201" fontId="1" fillId="0" borderId="4" xfId="0" applyNumberFormat="1" applyFont="1" applyFill="1" applyBorder="1"/>
    <x:xf numFmtId="201" fontId="1" fillId="0" borderId="5" xfId="0" applyNumberFormat="1" applyFont="1" applyFill="1" applyBorder="1"/>
    <x:xf numFmtId="201" fontId="1" fillId="0" borderId="6"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1" fillId="0" borderId="7" xfId="0" applyNumberFormat="1" applyFont="1" applyFill="1" applyBorder="1"/>
    <x:xf numFmtId="0" fontId="1" fillId="3" borderId="0" xfId="0" applyNumberFormat="1" applyFont="1" applyFill="1" applyBorder="1"/>
    <x:xf numFmtId="0" fontId="1" fillId="3" borderId="8" xfId="0" applyNumberFormat="1" applyFont="1" applyFill="1" applyBorder="1"/>
    <x:xf numFmtId="0" fontId="1" fillId="3" borderId="9" xfId="0" applyNumberFormat="1" applyFont="1" applyFill="1" applyBorder="1"/>
    <x:xf numFmtId="0" fontId="1" fillId="3" borderId="10" xfId="0" applyNumberFormat="1" applyFont="1" applyFill="1" applyBorder="1"/>
    <x:xf numFmtId="0" fontId="1" fillId="3" borderId="11" xfId="0" applyNumberFormat="1" applyFont="1" applyFill="1" applyBorder="1"/>
    <x:xf numFmtId="0" fontId="1" fillId="3" borderId="12" xfId="0" applyNumberFormat="1" applyFont="1" applyFill="1" applyBorder="1"/>
    <x:xf numFmtId="0" fontId="1" fillId="3" borderId="13" xfId="0" applyNumberFormat="1" applyFont="1" applyFill="1" applyBorder="1"/>
    <x:xf numFmtId="0" fontId="1" fillId="3" borderId="7" xfId="0" applyNumberFormat="1" applyFont="1" applyFill="1" applyBorder="1"/>
    <x:xf numFmtId="0" fontId="1" fillId="3" borderId="14" xfId="0" applyNumberFormat="1" applyFont="1" applyFill="1" applyBorder="1"/>
    <x:xf numFmtId="0" fontId="1" fillId="3" borderId="8" xfId="0" applyNumberFormat="1" applyFont="1" applyFill="1" applyBorder="1" applyAlignment="1">
      <x:alignment horizontal="center"/>
    </x:xf>
    <x:xf numFmtId="0" fontId="1" fillId="3" borderId="9" xfId="0" applyNumberFormat="1" applyFont="1" applyFill="1" applyBorder="1" applyAlignment="1">
      <x:alignment horizontal="center"/>
    </x:xf>
    <x:xf numFmtId="0" fontId="1" fillId="3" borderId="10" xfId="0" applyNumberFormat="1" applyFont="1" applyFill="1" applyBorder="1" applyAlignment="1">
      <x:alignment horizontal="center"/>
    </x:xf>
    <x:xf numFmtId="0" fontId="1" fillId="3" borderId="11" xfId="0" applyNumberFormat="1" applyFont="1" applyFill="1" applyBorder="1" applyAlignment="1">
      <x:alignment horizontal="center"/>
    </x:xf>
    <x:xf numFmtId="0" fontId="1" fillId="3" borderId="0" xfId="0" applyNumberFormat="1" applyFont="1" applyFill="1" applyBorder="1" applyAlignment="1">
      <x:alignment horizontal="center"/>
    </x:xf>
    <x:xf numFmtId="0" fontId="1" fillId="3" borderId="12" xfId="0" applyNumberFormat="1" applyFont="1" applyFill="1" applyBorder="1" applyAlignment="1">
      <x:alignment horizontal="center"/>
    </x:xf>
    <x:xf numFmtId="0" fontId="1" fillId="3" borderId="13" xfId="0" applyNumberFormat="1" applyFont="1" applyFill="1" applyBorder="1" applyAlignment="1">
      <x:alignment horizontal="center"/>
    </x:xf>
    <x:xf numFmtId="0" fontId="1" fillId="3" borderId="7" xfId="0" applyNumberFormat="1" applyFont="1" applyFill="1" applyBorder="1" applyAlignment="1">
      <x:alignment horizontal="center"/>
    </x:xf>
    <x:xf numFmtId="0" fontId="1" fillId="3" borderId="14" xfId="0" applyNumberFormat="1" applyFont="1" applyFill="1" applyBorder="1" applyAlignment="1">
      <x:alignment horizontal="center"/>
    </x:xf>
    <x:xf numFmtId="0" fontId="1" fillId="3" borderId="8" xfId="0" applyNumberFormat="1" applyFont="1" applyFill="1" applyBorder="1" applyAlignment="1">
      <x:alignment horizontal="center" vertical="center"/>
    </x:xf>
    <x:xf numFmtId="0" fontId="1" fillId="3" borderId="9" xfId="0" applyNumberFormat="1" applyFont="1" applyFill="1" applyBorder="1" applyAlignment="1">
      <x:alignment horizontal="center" vertical="center"/>
    </x:xf>
    <x:xf numFmtId="0" fontId="1" fillId="3" borderId="10" xfId="0" applyNumberFormat="1" applyFont="1" applyFill="1" applyBorder="1" applyAlignment="1">
      <x:alignment horizontal="center" vertical="center"/>
    </x:xf>
    <x:xf numFmtId="0" fontId="1" fillId="3" borderId="11"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x:xf>
    <x:xf numFmtId="0" fontId="1" fillId="3" borderId="12" xfId="0" applyNumberFormat="1" applyFont="1" applyFill="1" applyBorder="1" applyAlignment="1">
      <x:alignment horizontal="center" vertical="center"/>
    </x:xf>
    <x:xf numFmtId="0" fontId="1" fillId="3" borderId="13" xfId="0" applyNumberFormat="1" applyFont="1" applyFill="1" applyBorder="1" applyAlignment="1">
      <x:alignment horizontal="center" vertical="center"/>
    </x:xf>
    <x:xf numFmtId="0" fontId="1" fillId="3" borderId="7" xfId="0" applyNumberFormat="1" applyFont="1" applyFill="1" applyBorder="1" applyAlignment="1">
      <x:alignment horizontal="center" vertical="center"/>
    </x:xf>
    <x:xf numFmtId="0" fontId="1" fillId="3" borderId="14" xfId="0" applyNumberFormat="1" applyFont="1" applyFill="1" applyBorder="1" applyAlignment="1">
      <x:alignment horizontal="center" vertical="center"/>
    </x:xf>
    <x:xf numFmtId="0" fontId="7" fillId="3" borderId="8" xfId="0" applyNumberFormat="1" applyFont="1" applyFill="1" applyBorder="1" applyAlignment="1">
      <x:alignment horizontal="center" vertical="center"/>
    </x:xf>
    <x:xf numFmtId="0" fontId="7" fillId="3" borderId="9" xfId="0" applyNumberFormat="1" applyFont="1" applyFill="1" applyBorder="1" applyAlignment="1">
      <x:alignment horizontal="center" vertical="center"/>
    </x:xf>
    <x:xf numFmtId="0" fontId="7" fillId="3" borderId="10" xfId="0" applyNumberFormat="1" applyFont="1" applyFill="1" applyBorder="1" applyAlignment="1">
      <x:alignment horizontal="center" vertical="center"/>
    </x:xf>
    <x:xf numFmtId="0" fontId="5" fillId="3" borderId="11" xfId="0" applyNumberFormat="1" applyFont="1" applyFill="1" applyBorder="1" applyAlignment="1">
      <x:alignment horizontal="center" vertical="center"/>
    </x:xf>
    <x:xf numFmtId="0" fontId="5" fillId="3" borderId="0" xfId="0" applyNumberFormat="1" applyFont="1" applyFill="1" applyBorder="1" applyAlignment="1">
      <x:alignment horizontal="center" vertical="center"/>
    </x:xf>
    <x:xf numFmtId="0" fontId="5" fillId="3" borderId="12" xfId="0" applyNumberFormat="1" applyFont="1" applyFill="1" applyBorder="1" applyAlignment="1">
      <x:alignment horizontal="center" vertical="center"/>
    </x:xf>
    <x:xf numFmtId="0" fontId="5" fillId="3" borderId="13" xfId="0" applyNumberFormat="1" applyFont="1" applyFill="1" applyBorder="1" applyAlignment="1">
      <x:alignment horizontal="center" vertical="center"/>
    </x:xf>
    <x:xf numFmtId="0" fontId="5" fillId="3" borderId="7" xfId="0" applyNumberFormat="1" applyFont="1" applyFill="1" applyBorder="1" applyAlignment="1">
      <x:alignment horizontal="center" vertical="center"/>
    </x:xf>
    <x:xf numFmtId="0" fontId="5" fillId="3" borderId="14" xfId="0" applyNumberFormat="1" applyFont="1" applyFill="1" applyBorder="1" applyAlignment="1">
      <x:alignment horizontal="center" vertical="center"/>
    </x:xf>
    <x:xf numFmtId="200" fontId="5" fillId="3" borderId="11" xfId="0" applyNumberFormat="1" applyFont="1" applyFill="1" applyBorder="1" applyAlignment="1">
      <x:alignment horizontal="center" vertical="center"/>
    </x:xf>
    <x:xf numFmtId="200" fontId="5" fillId="3" borderId="0" xfId="0" applyNumberFormat="1" applyFont="1" applyFill="1" applyBorder="1" applyAlignment="1">
      <x:alignment horizontal="center" vertical="center"/>
    </x:xf>
    <x:xf numFmtId="200" fontId="5" fillId="3" borderId="12" xfId="0" applyNumberFormat="1" applyFont="1" applyFill="1" applyBorder="1" applyAlignment="1">
      <x:alignment horizontal="center" vertical="center"/>
    </x:xf>
    <x:xf numFmtId="200" fontId="5" fillId="3" borderId="13" xfId="0" applyNumberFormat="1" applyFont="1" applyFill="1" applyBorder="1" applyAlignment="1">
      <x:alignment horizontal="center" vertical="center"/>
    </x:xf>
    <x:xf numFmtId="200" fontId="5" fillId="3" borderId="7" xfId="0" applyNumberFormat="1" applyFont="1" applyFill="1" applyBorder="1" applyAlignment="1">
      <x:alignment horizontal="center" vertical="center"/>
    </x:xf>
    <x:xf numFmtId="200" fontId="5" fillId="3" borderId="14" xfId="0" applyNumberFormat="1" applyFont="1" applyFill="1" applyBorder="1" applyAlignment="1">
      <x:alignment horizontal="center" vertical="center"/>
    </x:xf>
    <x:xf numFmtId="0" fontId="1" fillId="4" borderId="0" xfId="0" applyNumberFormat="1" applyFont="1" applyFill="1" applyBorder="1"/>
    <x:xf numFmtId="0" fontId="1" fillId="4" borderId="8" xfId="0" applyNumberFormat="1" applyFont="1" applyFill="1" applyBorder="1"/>
    <x:xf numFmtId="0" fontId="1" fillId="4" borderId="9" xfId="0" applyNumberFormat="1" applyFont="1" applyFill="1" applyBorder="1"/>
    <x:xf numFmtId="0" fontId="1" fillId="4" borderId="10" xfId="0" applyNumberFormat="1" applyFont="1" applyFill="1" applyBorder="1"/>
    <x:xf numFmtId="0" fontId="1" fillId="4" borderId="11" xfId="0" applyNumberFormat="1" applyFont="1" applyFill="1" applyBorder="1"/>
    <x:xf numFmtId="0" fontId="1" fillId="4" borderId="12" xfId="0" applyNumberFormat="1" applyFont="1" applyFill="1" applyBorder="1"/>
    <x:xf numFmtId="0" fontId="1" fillId="4" borderId="13" xfId="0" applyNumberFormat="1" applyFont="1" applyFill="1" applyBorder="1"/>
    <x:xf numFmtId="0" fontId="1" fillId="4" borderId="7" xfId="0" applyNumberFormat="1" applyFont="1" applyFill="1" applyBorder="1"/>
    <x:xf numFmtId="0" fontId="1" fillId="4" borderId="14" xfId="0" applyNumberFormat="1" applyFont="1" applyFill="1" applyBorder="1"/>
    <x:xf numFmtId="0" fontId="1" fillId="4" borderId="8" xfId="0" applyNumberFormat="1" applyFont="1" applyFill="1" applyBorder="1" applyAlignment="1">
      <x:alignment horizontal="center"/>
    </x:xf>
    <x:xf numFmtId="0" fontId="1" fillId="4" borderId="9" xfId="0" applyNumberFormat="1" applyFont="1" applyFill="1" applyBorder="1" applyAlignment="1">
      <x:alignment horizontal="center"/>
    </x:xf>
    <x:xf numFmtId="0" fontId="1" fillId="4" borderId="10" xfId="0" applyNumberFormat="1" applyFont="1" applyFill="1" applyBorder="1" applyAlignment="1">
      <x:alignment horizontal="center"/>
    </x:xf>
    <x:xf numFmtId="0" fontId="1" fillId="4" borderId="11" xfId="0" applyNumberFormat="1" applyFont="1" applyFill="1" applyBorder="1" applyAlignment="1">
      <x:alignment horizontal="center"/>
    </x:xf>
    <x:xf numFmtId="0" fontId="1" fillId="4" borderId="0" xfId="0" applyNumberFormat="1" applyFont="1" applyFill="1" applyBorder="1" applyAlignment="1">
      <x:alignment horizontal="center"/>
    </x:xf>
    <x:xf numFmtId="0" fontId="1" fillId="4" borderId="12" xfId="0" applyNumberFormat="1" applyFont="1" applyFill="1" applyBorder="1" applyAlignment="1">
      <x:alignment horizontal="center"/>
    </x:xf>
    <x:xf numFmtId="0" fontId="1" fillId="4" borderId="13" xfId="0" applyNumberFormat="1" applyFont="1" applyFill="1" applyBorder="1" applyAlignment="1">
      <x:alignment horizontal="center"/>
    </x:xf>
    <x:xf numFmtId="0" fontId="1" fillId="4" borderId="7" xfId="0" applyNumberFormat="1" applyFont="1" applyFill="1" applyBorder="1" applyAlignment="1">
      <x:alignment horizontal="center"/>
    </x:xf>
    <x:xf numFmtId="0" fontId="1" fillId="4" borderId="14" xfId="0" applyNumberFormat="1" applyFont="1" applyFill="1" applyBorder="1" applyAlignment="1">
      <x:alignment horizontal="center"/>
    </x:xf>
    <x:xf numFmtId="0" fontId="1" fillId="4" borderId="8" xfId="0" applyNumberFormat="1" applyFont="1" applyFill="1" applyBorder="1" applyAlignment="1">
      <x:alignment horizontal="center" vertical="center"/>
    </x:xf>
    <x:xf numFmtId="0" fontId="1" fillId="4" borderId="9" xfId="0" applyNumberFormat="1" applyFont="1" applyFill="1" applyBorder="1" applyAlignment="1">
      <x:alignment horizontal="center" vertical="center"/>
    </x:xf>
    <x:xf numFmtId="0" fontId="1" fillId="4" borderId="10" xfId="0" applyNumberFormat="1" applyFont="1" applyFill="1" applyBorder="1" applyAlignment="1">
      <x:alignment horizontal="center" vertical="center"/>
    </x:xf>
    <x:xf numFmtId="0" fontId="1" fillId="4" borderId="11"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0" fontId="1" fillId="4" borderId="12" xfId="0" applyNumberFormat="1" applyFont="1" applyFill="1" applyBorder="1" applyAlignment="1">
      <x:alignment horizontal="center" vertical="center"/>
    </x:xf>
    <x:xf numFmtId="0" fontId="1" fillId="4" borderId="13" xfId="0" applyNumberFormat="1" applyFont="1" applyFill="1" applyBorder="1" applyAlignment="1">
      <x:alignment horizontal="center" vertical="center"/>
    </x:xf>
    <x:xf numFmtId="0" fontId="1" fillId="4" borderId="7" xfId="0" applyNumberFormat="1" applyFont="1" applyFill="1" applyBorder="1" applyAlignment="1">
      <x:alignment horizontal="center" vertical="center"/>
    </x:xf>
    <x:xf numFmtId="0" fontId="1" fillId="4" borderId="14" xfId="0" applyNumberFormat="1" applyFont="1" applyFill="1" applyBorder="1" applyAlignment="1">
      <x:alignment horizontal="center" vertical="center"/>
    </x:xf>
    <x:xf numFmtId="0" fontId="7" fillId="4" borderId="8" xfId="0" applyNumberFormat="1" applyFont="1" applyFill="1" applyBorder="1" applyAlignment="1">
      <x:alignment horizontal="center" vertical="center"/>
    </x:xf>
    <x:xf numFmtId="0" fontId="7" fillId="4" borderId="9" xfId="0" applyNumberFormat="1" applyFont="1" applyFill="1" applyBorder="1" applyAlignment="1">
      <x:alignment horizontal="center" vertical="center"/>
    </x:xf>
    <x:xf numFmtId="0" fontId="7" fillId="4" borderId="10" xfId="0" applyNumberFormat="1" applyFont="1" applyFill="1" applyBorder="1" applyAlignment="1">
      <x:alignment horizontal="center" vertical="center"/>
    </x:xf>
    <x:xf numFmtId="0" fontId="5" fillId="4" borderId="11" xfId="0" applyNumberFormat="1" applyFont="1" applyFill="1" applyBorder="1" applyAlignment="1">
      <x:alignment horizontal="center" vertical="center"/>
    </x:xf>
    <x:xf numFmtId="0" fontId="5" fillId="4" borderId="0" xfId="0" applyNumberFormat="1" applyFont="1" applyFill="1" applyBorder="1" applyAlignment="1">
      <x:alignment horizontal="center" vertical="center"/>
    </x:xf>
    <x:xf numFmtId="0" fontId="5" fillId="4" borderId="12" xfId="0" applyNumberFormat="1" applyFont="1" applyFill="1" applyBorder="1" applyAlignment="1">
      <x:alignment horizontal="center" vertical="center"/>
    </x:xf>
    <x:xf numFmtId="0" fontId="5" fillId="4" borderId="13" xfId="0" applyNumberFormat="1" applyFont="1" applyFill="1" applyBorder="1" applyAlignment="1">
      <x:alignment horizontal="center" vertical="center"/>
    </x:xf>
    <x:xf numFmtId="0" fontId="5" fillId="4" borderId="7" xfId="0" applyNumberFormat="1" applyFont="1" applyFill="1" applyBorder="1" applyAlignment="1">
      <x:alignment horizontal="center" vertical="center"/>
    </x:xf>
    <x:xf numFmtId="0" fontId="5" fillId="4" borderId="14" xfId="0" applyNumberFormat="1" applyFont="1" applyFill="1" applyBorder="1" applyAlignment="1">
      <x:alignment horizontal="center" vertical="center"/>
    </x:xf>
    <x:xf numFmtId="201" fontId="5" fillId="4" borderId="11" xfId="0" applyNumberFormat="1" applyFont="1" applyFill="1" applyBorder="1" applyAlignment="1">
      <x:alignment horizontal="center" vertical="center"/>
    </x:xf>
    <x:xf numFmtId="201" fontId="5" fillId="4" borderId="0" xfId="0" applyNumberFormat="1" applyFont="1" applyFill="1" applyBorder="1" applyAlignment="1">
      <x:alignment horizontal="center" vertical="center"/>
    </x:xf>
    <x:xf numFmtId="201" fontId="5" fillId="4" borderId="12" xfId="0" applyNumberFormat="1" applyFont="1" applyFill="1" applyBorder="1" applyAlignment="1">
      <x:alignment horizontal="center" vertical="center"/>
    </x:xf>
    <x:xf numFmtId="201" fontId="5" fillId="4" borderId="13" xfId="0" applyNumberFormat="1" applyFont="1" applyFill="1" applyBorder="1" applyAlignment="1">
      <x:alignment horizontal="center" vertical="center"/>
    </x:xf>
    <x:xf numFmtId="201" fontId="5" fillId="4" borderId="7" xfId="0" applyNumberFormat="1" applyFont="1" applyFill="1" applyBorder="1" applyAlignment="1">
      <x:alignment horizontal="center" vertical="center"/>
    </x:xf>
    <x:xf numFmtId="201" fontId="5" fillId="4" borderId="14" xfId="0" applyNumberFormat="1" applyFont="1" applyFill="1" applyBorder="1" applyAlignment="1">
      <x:alignment horizontal="center" vertical="center"/>
    </x:xf>
    <x:xf numFmtId="0" fontId="1" fillId="5" borderId="0" xfId="0" applyNumberFormat="1" applyFont="1" applyFill="1" applyBorder="1"/>
    <x:xf numFmtId="0" fontId="1" fillId="5" borderId="8" xfId="0" applyNumberFormat="1" applyFont="1" applyFill="1" applyBorder="1"/>
    <x:xf numFmtId="0" fontId="1" fillId="5" borderId="9" xfId="0" applyNumberFormat="1" applyFont="1" applyFill="1" applyBorder="1"/>
    <x:xf numFmtId="0" fontId="1" fillId="5" borderId="10" xfId="0" applyNumberFormat="1" applyFont="1" applyFill="1" applyBorder="1"/>
    <x:xf numFmtId="0" fontId="1" fillId="5" borderId="11" xfId="0" applyNumberFormat="1" applyFont="1" applyFill="1" applyBorder="1"/>
    <x:xf numFmtId="0" fontId="1" fillId="5" borderId="12" xfId="0" applyNumberFormat="1" applyFont="1" applyFill="1" applyBorder="1"/>
    <x:xf numFmtId="0" fontId="1" fillId="5" borderId="13" xfId="0" applyNumberFormat="1" applyFont="1" applyFill="1" applyBorder="1"/>
    <x:xf numFmtId="0" fontId="1" fillId="5" borderId="7" xfId="0" applyNumberFormat="1" applyFont="1" applyFill="1" applyBorder="1"/>
    <x:xf numFmtId="0" fontId="1" fillId="5" borderId="14" xfId="0" applyNumberFormat="1" applyFont="1" applyFill="1" applyBorder="1"/>
    <x:xf numFmtId="0" fontId="1" fillId="5" borderId="8" xfId="0" applyNumberFormat="1" applyFont="1" applyFill="1" applyBorder="1" applyAlignment="1">
      <x:alignment horizontal="center"/>
    </x:xf>
    <x:xf numFmtId="0" fontId="1" fillId="5" borderId="9" xfId="0" applyNumberFormat="1" applyFont="1" applyFill="1" applyBorder="1" applyAlignment="1">
      <x:alignment horizontal="center"/>
    </x:xf>
    <x:xf numFmtId="0" fontId="1" fillId="5" borderId="10" xfId="0" applyNumberFormat="1" applyFont="1" applyFill="1" applyBorder="1" applyAlignment="1">
      <x:alignment horizontal="center"/>
    </x:xf>
    <x:xf numFmtId="0" fontId="1" fillId="5" borderId="11" xfId="0" applyNumberFormat="1" applyFont="1" applyFill="1" applyBorder="1" applyAlignment="1">
      <x:alignment horizontal="center"/>
    </x:xf>
    <x:xf numFmtId="0" fontId="1" fillId="5" borderId="0" xfId="0" applyNumberFormat="1" applyFont="1" applyFill="1" applyBorder="1" applyAlignment="1">
      <x:alignment horizontal="center"/>
    </x:xf>
    <x:xf numFmtId="0" fontId="1" fillId="5" borderId="12" xfId="0" applyNumberFormat="1" applyFont="1" applyFill="1" applyBorder="1" applyAlignment="1">
      <x:alignment horizontal="center"/>
    </x:xf>
    <x:xf numFmtId="0" fontId="1" fillId="5" borderId="13" xfId="0" applyNumberFormat="1" applyFont="1" applyFill="1" applyBorder="1" applyAlignment="1">
      <x:alignment horizontal="center"/>
    </x:xf>
    <x:xf numFmtId="0" fontId="1" fillId="5" borderId="7" xfId="0" applyNumberFormat="1" applyFont="1" applyFill="1" applyBorder="1" applyAlignment="1">
      <x:alignment horizontal="center"/>
    </x:xf>
    <x:xf numFmtId="0" fontId="1" fillId="5" borderId="14" xfId="0" applyNumberFormat="1" applyFont="1" applyFill="1" applyBorder="1" applyAlignment="1">
      <x:alignment horizontal="center"/>
    </x:xf>
    <x:xf numFmtId="0" fontId="1" fillId="5" borderId="8" xfId="0" applyNumberFormat="1" applyFont="1" applyFill="1" applyBorder="1" applyAlignment="1">
      <x:alignment horizontal="center" vertical="center"/>
    </x:xf>
    <x:xf numFmtId="0" fontId="1" fillId="5" borderId="9" xfId="0" applyNumberFormat="1" applyFont="1" applyFill="1" applyBorder="1" applyAlignment="1">
      <x:alignment horizontal="center" vertical="center"/>
    </x:xf>
    <x:xf numFmtId="0" fontId="1" fillId="5" borderId="10" xfId="0" applyNumberFormat="1" applyFont="1" applyFill="1" applyBorder="1" applyAlignment="1">
      <x:alignment horizontal="center" vertical="center"/>
    </x:xf>
    <x:xf numFmtId="0" fontId="1" fillId="5" borderId="11" xfId="0" applyNumberFormat="1" applyFont="1" applyFill="1" applyBorder="1" applyAlignment="1">
      <x:alignment horizontal="center" vertical="center"/>
    </x:xf>
    <x:xf numFmtId="0" fontId="1" fillId="5" borderId="0" xfId="0" applyNumberFormat="1" applyFont="1" applyFill="1" applyBorder="1" applyAlignment="1">
      <x:alignment horizontal="center" vertical="center"/>
    </x:xf>
    <x:xf numFmtId="0" fontId="1" fillId="5" borderId="12" xfId="0" applyNumberFormat="1" applyFont="1" applyFill="1" applyBorder="1" applyAlignment="1">
      <x:alignment horizontal="center" vertical="center"/>
    </x:xf>
    <x:xf numFmtId="0" fontId="1" fillId="5" borderId="13" xfId="0" applyNumberFormat="1" applyFont="1" applyFill="1" applyBorder="1" applyAlignment="1">
      <x:alignment horizontal="center" vertical="center"/>
    </x:xf>
    <x:xf numFmtId="0" fontId="1" fillId="5" borderId="7" xfId="0" applyNumberFormat="1" applyFont="1" applyFill="1" applyBorder="1" applyAlignment="1">
      <x:alignment horizontal="center" vertical="center"/>
    </x:xf>
    <x:xf numFmtId="0" fontId="1" fillId="5" borderId="14" xfId="0" applyNumberFormat="1" applyFont="1" applyFill="1" applyBorder="1" applyAlignment="1">
      <x:alignment horizontal="center" vertical="center"/>
    </x:xf>
    <x:xf numFmtId="0" fontId="7" fillId="5" borderId="8" xfId="0" applyNumberFormat="1" applyFont="1" applyFill="1" applyBorder="1" applyAlignment="1">
      <x:alignment horizontal="center" vertical="center"/>
    </x:xf>
    <x:xf numFmtId="0" fontId="7" fillId="5" borderId="9" xfId="0" applyNumberFormat="1" applyFont="1" applyFill="1" applyBorder="1" applyAlignment="1">
      <x:alignment horizontal="center" vertical="center"/>
    </x:xf>
    <x:xf numFmtId="0" fontId="7" fillId="5" borderId="10" xfId="0" applyNumberFormat="1" applyFont="1" applyFill="1" applyBorder="1" applyAlignment="1">
      <x:alignment horizontal="center" vertical="center"/>
    </x:xf>
    <x:xf numFmtId="0" fontId="5" fillId="5" borderId="11"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x:xf>
    <x:xf numFmtId="0" fontId="5" fillId="5" borderId="12" xfId="0" applyNumberFormat="1" applyFont="1" applyFill="1" applyBorder="1" applyAlignment="1">
      <x:alignment horizontal="center" vertical="center"/>
    </x:xf>
    <x:xf numFmtId="0" fontId="5" fillId="5" borderId="13" xfId="0" applyNumberFormat="1" applyFont="1" applyFill="1" applyBorder="1" applyAlignment="1">
      <x:alignment horizontal="center" vertical="center"/>
    </x:xf>
    <x:xf numFmtId="0" fontId="5" fillId="5" borderId="7" xfId="0" applyNumberFormat="1" applyFont="1" applyFill="1" applyBorder="1" applyAlignment="1">
      <x:alignment horizontal="center" vertical="center"/>
    </x:xf>
    <x:xf numFmtId="0" fontId="5" fillId="5" borderId="14" xfId="0" applyNumberFormat="1" applyFont="1" applyFill="1" applyBorder="1" applyAlignment="1">
      <x:alignment horizontal="center" vertical="center"/>
    </x:xf>
    <x:xf numFmtId="201" fontId="5" fillId="5" borderId="11" xfId="0" applyNumberFormat="1" applyFont="1" applyFill="1" applyBorder="1" applyAlignment="1">
      <x:alignment horizontal="center" vertical="center"/>
    </x:xf>
    <x:xf numFmtId="201" fontId="5" fillId="5" borderId="0" xfId="0" applyNumberFormat="1" applyFont="1" applyFill="1" applyBorder="1" applyAlignment="1">
      <x:alignment horizontal="center" vertical="center"/>
    </x:xf>
    <x:xf numFmtId="201" fontId="5" fillId="5" borderId="12" xfId="0" applyNumberFormat="1" applyFont="1" applyFill="1" applyBorder="1" applyAlignment="1">
      <x:alignment horizontal="center" vertical="center"/>
    </x:xf>
    <x:xf numFmtId="201" fontId="5" fillId="5" borderId="13" xfId="0" applyNumberFormat="1" applyFont="1" applyFill="1" applyBorder="1" applyAlignment="1">
      <x:alignment horizontal="center" vertical="center"/>
    </x:xf>
    <x:xf numFmtId="201" fontId="5" fillId="5" borderId="7" xfId="0" applyNumberFormat="1" applyFont="1" applyFill="1" applyBorder="1" applyAlignment="1">
      <x:alignment horizontal="center" vertical="center"/>
    </x:xf>
    <x:xf numFmtId="201" fontId="5" fillId="5" borderId="14" xfId="0" applyNumberFormat="1" applyFont="1" applyFill="1" applyBorder="1" applyAlignment="1">
      <x:alignment horizontal="center" vertical="center"/>
    </x:xf>
    <x:xf numFmtId="201" fontId="5" fillId="3" borderId="11" xfId="0" applyNumberFormat="1" applyFont="1" applyFill="1" applyBorder="1" applyAlignment="1">
      <x:alignment horizontal="center" vertical="center"/>
    </x:xf>
    <x:xf numFmtId="201" fontId="5" fillId="3" borderId="0" xfId="0" applyNumberFormat="1" applyFont="1" applyFill="1" applyBorder="1" applyAlignment="1">
      <x:alignment horizontal="center" vertical="center"/>
    </x:xf>
    <x:xf numFmtId="201" fontId="5" fillId="3" borderId="12" xfId="0" applyNumberFormat="1" applyFont="1" applyFill="1" applyBorder="1" applyAlignment="1">
      <x:alignment horizontal="center" vertical="center"/>
    </x:xf>
    <x:xf numFmtId="201" fontId="5" fillId="3" borderId="13" xfId="0" applyNumberFormat="1" applyFont="1" applyFill="1" applyBorder="1" applyAlignment="1">
      <x:alignment horizontal="center" vertical="center"/>
    </x:xf>
    <x:xf numFmtId="201" fontId="5" fillId="3" borderId="7" xfId="0" applyNumberFormat="1" applyFont="1" applyFill="1" applyBorder="1" applyAlignment="1">
      <x:alignment horizontal="center" vertical="center"/>
    </x:xf>
    <x:xf numFmtId="201" fontId="5" fillId="3" borderId="14" xfId="0" applyNumberFormat="1" applyFont="1" applyFill="1" applyBorder="1" applyAlignment="1">
      <x:alignment horizontal="center" vertical="center"/>
    </x:xf>
    <x:xf numFmtId="0" fontId="8" fillId="2" borderId="0" xfId="0" applyNumberFormat="1" applyFont="1" applyFill="1" applyBorder="1"/>
    <x:xf numFmtId="0" fontId="1" fillId="4" borderId="8" xfId="0" applyNumberFormat="1" applyFont="1" applyFill="1" applyBorder="1" applyAlignment="1">
      <x:alignment wrapText="1"/>
    </x:xf>
    <x:xf numFmtId="0" fontId="1" fillId="4" borderId="9" xfId="0" applyNumberFormat="1" applyFont="1" applyFill="1" applyBorder="1" applyAlignment="1">
      <x:alignment wrapText="1"/>
    </x:xf>
    <x:xf numFmtId="0" fontId="1" fillId="4" borderId="10" xfId="0" applyNumberFormat="1" applyFont="1" applyFill="1" applyBorder="1" applyAlignment="1">
      <x:alignment wrapText="1"/>
    </x:xf>
    <x:xf numFmtId="0" fontId="1" fillId="4" borderId="11" xfId="0" applyNumberFormat="1" applyFont="1" applyFill="1" applyBorder="1" applyAlignment="1">
      <x:alignment wrapText="1"/>
    </x:xf>
    <x:xf numFmtId="0" fontId="1" fillId="4" borderId="0" xfId="0" applyNumberFormat="1" applyFont="1" applyFill="1" applyBorder="1" applyAlignment="1">
      <x:alignment wrapText="1"/>
    </x:xf>
    <x:xf numFmtId="0" fontId="1" fillId="4" borderId="12" xfId="0" applyNumberFormat="1" applyFont="1" applyFill="1" applyBorder="1" applyAlignment="1">
      <x:alignment wrapText="1"/>
    </x:xf>
    <x:xf numFmtId="0" fontId="1" fillId="4" borderId="13" xfId="0" applyNumberFormat="1" applyFont="1" applyFill="1" applyBorder="1" applyAlignment="1">
      <x:alignment wrapText="1"/>
    </x:xf>
    <x:xf numFmtId="0" fontId="1" fillId="4" borderId="7" xfId="0" applyNumberFormat="1" applyFont="1" applyFill="1" applyBorder="1" applyAlignment="1">
      <x:alignment wrapText="1"/>
    </x:xf>
    <x:xf numFmtId="0" fontId="1" fillId="4" borderId="14" xfId="0" applyNumberFormat="1" applyFont="1" applyFill="1" applyBorder="1" applyAlignment="1">
      <x:alignment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1" fillId="4" borderId="14" xfId="0" applyNumberFormat="1" applyFont="1" applyFill="1" applyBorder="1" applyAlignment="1">
      <x:alignment vertical="top" wrapText="1"/>
    </x:xf>
    <x:xf numFmtId="0" fontId="1"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1" fillId="5" borderId="8" xfId="0" applyNumberFormat="1" applyFont="1" applyFill="1" applyBorder="1" applyAlignment="1">
      <x:alignment wrapText="1"/>
    </x:xf>
    <x:xf numFmtId="0" fontId="1" fillId="5" borderId="9" xfId="0" applyNumberFormat="1" applyFont="1" applyFill="1" applyBorder="1" applyAlignment="1">
      <x:alignment wrapText="1"/>
    </x:xf>
    <x:xf numFmtId="0" fontId="1" fillId="5" borderId="10" xfId="0" applyNumberFormat="1" applyFont="1" applyFill="1" applyBorder="1" applyAlignment="1">
      <x:alignment wrapText="1"/>
    </x:xf>
    <x:xf numFmtId="0" fontId="1" fillId="5" borderId="11"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12" xfId="0" applyNumberFormat="1" applyFont="1" applyFill="1" applyBorder="1" applyAlignment="1">
      <x:alignment wrapText="1"/>
    </x:xf>
    <x:xf numFmtId="0" fontId="1" fillId="5" borderId="13"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14" xfId="0" applyNumberFormat="1" applyFont="1" applyFill="1" applyBorder="1" applyAlignment="1">
      <x:alignment wrapText="1"/>
    </x:xf>
    <x:xf numFmtId="0" fontId="1" fillId="5" borderId="8" xfId="0" applyNumberFormat="1" applyFont="1" applyFill="1" applyBorder="1" applyAlignment="1">
      <x:alignment vertical="top" wrapText="1"/>
    </x:xf>
    <x:xf numFmtId="0" fontId="1" fillId="5" borderId="9" xfId="0" applyNumberFormat="1" applyFont="1" applyFill="1" applyBorder="1" applyAlignment="1">
      <x:alignment vertical="top" wrapText="1"/>
    </x:xf>
    <x:xf numFmtId="0" fontId="1" fillId="5" borderId="10" xfId="0" applyNumberFormat="1" applyFont="1" applyFill="1" applyBorder="1" applyAlignment="1">
      <x:alignment vertical="top" wrapText="1"/>
    </x:xf>
    <x:xf numFmtId="0" fontId="1" fillId="5" borderId="1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2" xfId="0" applyNumberFormat="1" applyFont="1" applyFill="1" applyBorder="1" applyAlignment="1">
      <x:alignment vertical="top" wrapText="1"/>
    </x:xf>
    <x:xf numFmtId="0" fontId="1" fillId="5" borderId="13"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14"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31cc3987b34e61" /><Relationship Type="http://schemas.openxmlformats.org/officeDocument/2006/relationships/theme" Target="/xl/theme/theme1.xml" Id="Recfcfc59f42d4446" /><Relationship Type="http://schemas.openxmlformats.org/officeDocument/2006/relationships/sharedStrings" Target="/xl/sharedStrings.xml" Id="R85ba6a1b3438422d" /><Relationship Type="http://schemas.openxmlformats.org/officeDocument/2006/relationships/worksheet" Target="/xl/worksheets/sheet1.xml" Id="R1ea72f58e54543e1" /><Relationship Type="http://schemas.openxmlformats.org/officeDocument/2006/relationships/worksheet" Target="/xl/worksheets/sheet2.xml" Id="Rb1b82d4b73374d3f" /><Relationship Type="http://schemas.openxmlformats.org/officeDocument/2006/relationships/worksheet" Target="/xl/worksheets/sheet3.xml" Id="R7850ab4cf2b74458" /><Relationship Type="http://schemas.openxmlformats.org/officeDocument/2006/relationships/worksheet" Target="/xl/worksheets/sheet4.xml" Id="R0f8eabe7f1424c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6ce4ec95f9344c05" /><Relationship Type="http://schemas.openxmlformats.org/officeDocument/2006/relationships/chart" Target="/xl/drawings/charts/chart2.xml" Id="R9271e1e1f201428c" /><Relationship Type="http://schemas.openxmlformats.org/officeDocument/2006/relationships/chart" Target="/xl/drawings/charts/chart3.xml" Id="Ra5e2d60b17464b6b" /><Relationship Type="http://schemas.openxmlformats.org/officeDocument/2006/relationships/chart" Target="/xl/drawings/charts/chart4.xml" Id="R68af1064f477472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Thời gian để thống nhất đầu việc (n=20)</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Series 1</c:v>
          </c:tx>
          <c:spPr>
            <a:solidFill xmlns:a="http://schemas.openxmlformats.org/drawingml/2006/main">
              <a:srgbClr val="4472C4"/>
            </a:solidFill>
          </c:spPr>
          <c:cat>
            <c:strRef>
              <c:f>'Bảng số liệu'!$A$16:$A$20</c:f>
              <c:strCache>
                <c:ptCount val="0"/>
              </c:strCache>
            </c:strRef>
          </c:cat>
          <c:val>
            <c:numRef>
              <c:f>'Bảng số liệu'!$B$16:$B$20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Các vấn đề gặp phải (n=20)</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Series 1</c:v>
          </c:tx>
          <c:spPr>
            <a:solidFill xmlns:a="http://schemas.openxmlformats.org/drawingml/2006/main">
              <a:srgbClr val="F4B183"/>
            </a:solidFill>
          </c:spPr>
          <c:cat>
            <c:strRef>
              <c:f>'Bảng số liệu'!$A$33:$A$41</c:f>
              <c:strCache>
                <c:ptCount val="0"/>
              </c:strCache>
            </c:strRef>
          </c:cat>
          <c:val>
            <c:numRef>
              <c:f>'Bảng số liệu'!$B$33:$B$41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Hậu quả được ghi nhận (n=20)</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Series 1</c:v>
          </c:tx>
          <c:spPr>
            <a:solidFill xmlns:a="http://schemas.openxmlformats.org/drawingml/2006/main">
              <a:srgbClr val="4472C4"/>
            </a:solidFill>
          </c:spPr>
          <c:cat>
            <c:strRef>
              <c:f>'Bảng số liệu'!$A$45:$A$50</c:f>
              <c:strCache>
                <c:ptCount val="0"/>
              </c:strCache>
            </c:strRef>
          </c:cat>
          <c:val>
            <c:numRef>
              <c:f>'Bảng số liệu'!$B$45:$B$50</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Cách xác định task phù hợp (n=20)</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Series 1</c:v>
          </c:tx>
          <c:spPr>
            <a:solidFill xmlns:a="http://schemas.openxmlformats.org/drawingml/2006/main">
              <a:srgbClr val="70AD47"/>
            </a:solidFill>
          </c:spPr>
          <c:cat>
            <c:strRef>
              <c:f>'Bảng số liệu'!$A$63:$A$67</c:f>
              <c:strCache>
                <c:ptCount val="0"/>
              </c:strCache>
            </c:strRef>
          </c:cat>
          <c:val>
            <c:numRef>
              <c:f>'Bảng số liệu'!$B$63:$B$67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10</xdr:row>
      <xdr:rowOff>0</xdr:rowOff>
    </xdr:from>
    <xdr:to>
      <xdr:col>9</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e4ec95f9344c05"/>
        </a:graphicData>
      </a:graphic>
    </xdr:graphicFrame>
    <xdr:clientData/>
  </xdr:twoCellAnchor>
  <xdr:twoCellAnchor>
    <xdr:from>
      <xdr:col>9</xdr:col>
      <xdr:colOff>0</xdr:colOff>
      <xdr:row>10</xdr:row>
      <xdr:rowOff>0</xdr:rowOff>
    </xdr:from>
    <xdr:to>
      <xdr:col>18</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71e1e1f201428c"/>
        </a:graphicData>
      </a:graphic>
    </xdr:graphicFrame>
    <xdr:clientData/>
  </xdr:twoCellAnchor>
  <xdr:twoCellAnchor>
    <xdr:from>
      <xdr:col>0</xdr:col>
      <xdr:colOff>0</xdr:colOff>
      <xdr:row>30</xdr:row>
      <xdr:rowOff>0</xdr:rowOff>
    </xdr:from>
    <xdr:to>
      <xdr:col>9</xdr:col>
      <xdr:colOff>0</xdr:colOff>
      <xdr:row>46</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e2d60b17464b6b"/>
        </a:graphicData>
      </a:graphic>
    </xdr:graphicFrame>
    <xdr:clientData/>
  </xdr:twoCellAnchor>
  <xdr:twoCellAnchor>
    <xdr:from>
      <xdr:col>9</xdr:col>
      <xdr:colOff>0</xdr:colOff>
      <xdr:row>30</xdr:row>
      <xdr:rowOff>0</xdr:rowOff>
    </xdr:from>
    <xdr:to>
      <xdr:col>18</xdr:col>
      <xdr:colOff>0</xdr:colOff>
      <xdr:row>46</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8af1064f4774724"/>
        </a:graphicData>
      </a:graphic>
    </xdr:graphicFrame>
    <xdr:clientData/>
  </xdr:twoCellAnchor>
</xdr:wsDr>
</file>

<file path=xl/tables/table1.xml><?xml version="1.0" encoding="utf-8"?>
<x:table xmlns:x="http://schemas.openxmlformats.org/spreadsheetml/2006/main" id="1" name="SurveyData" displayName="SurveyData" ref="A1:J24" headerRowCount="1" totalsRowCount="0" totalsRowShown="0">
  <x:tableColumns count="10">
    <x:tableColumn id="1" name="Mã phản hồi"/>
    <x:tableColumn id="2" name="Thuộc snapshot 22"/>
    <x:tableColumn id="3" name="Vai trò"/>
    <x:tableColumn id="4" name="Thời gian thống nhất"/>
    <x:tableColumn id="5" name="Nguồn xác định đầu việc"/>
    <x:tableColumn id="6" name="Vấn đề gặp phải"/>
    <x:tableColumn id="7" name="Hậu quả"/>
    <x:tableColumn id="8" name="Thời gian mất thêm"/>
    <x:tableColumn id="9" name="Cách xác định task phù hợp"/>
    <x:tableColumn id="10" name="Trạng thái willing use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daa42b3058d4c81" /></Relationships>
</file>

<file path=xl/worksheets/_rels/sheet3.xml.rels>&#65279;<?xml version="1.0" encoding="utf-8"?><Relationships xmlns="http://schemas.openxmlformats.org/package/2006/relationships"><Relationship Type="http://schemas.openxmlformats.org/officeDocument/2006/relationships/table" Target="/xl/tables/table1.xml" Id="R4da2c221f93a4ff4" /></Relationships>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24" hidden="0" customWidth="1"/>
    <x:col min="2" max="2" width="14" hidden="0" customWidth="1"/>
    <x:col min="3" max="3" width="14"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 min="15" max="15" width="11" hidden="0" customWidth="1"/>
    <x:col min="16" max="16" width="11" hidden="0" customWidth="1"/>
    <x:col min="17" max="17" width="11" hidden="0" customWidth="1"/>
    <x:col min="18" max="18" width="11"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row>
    <x:row r="2" ht="26" customHeight="1">
      <x:c r="A2" s="39" t="str">
        <x:v>Khảo sát cách nhóm bắt đầu một bài LAB</x:v>
      </x:c>
      <x:c r="B2" s="39" t="str">
        <x:v>Khảo sát cách nhóm bắt đầu một bài LAB</x:v>
      </x:c>
      <x:c r="C2" s="39" t="str">
        <x:v>Khảo sát cách nhóm bắt đầu một bài LAB</x:v>
      </x:c>
      <x:c r="D2" s="39" t="str">
        <x:v>Khảo sát cách nhóm bắt đầu một bài LAB</x:v>
      </x:c>
      <x:c r="E2" s="39" t="str">
        <x:v>Khảo sát cách nhóm bắt đầu một bài LAB</x:v>
      </x:c>
      <x:c r="F2" s="39" t="str">
        <x:v>Khảo sát cách nhóm bắt đầu một bài LAB</x:v>
      </x:c>
      <x:c r="G2" s="39" t="str">
        <x:v>Khảo sát cách nhóm bắt đầu một bài LAB</x:v>
      </x:c>
      <x:c r="H2" s="39" t="str">
        <x:v>Khảo sát cách nhóm bắt đầu một bài LAB</x:v>
      </x:c>
      <x:c r="I2" s="39" t="str">
        <x:v>Khảo sát cách nhóm bắt đầu một bài LAB</x:v>
      </x:c>
      <x:c r="J2" s="39" t="str">
        <x:v>Khảo sát cách nhóm bắt đầu một bài LAB</x:v>
      </x:c>
      <x:c r="K2" s="39" t="str">
        <x:v>Khảo sát cách nhóm bắt đầu một bài LAB</x:v>
      </x:c>
      <x:c r="L2" s="39" t="str">
        <x:v>Khảo sát cách nhóm bắt đầu một bài LAB</x:v>
      </x:c>
      <x:c r="M2" s="39" t="str">
        <x:v>Khảo sát cách nhóm bắt đầu một bài LAB</x:v>
      </x:c>
      <x:c r="N2" s="39" t="str">
        <x:v>Khảo sát cách nhóm bắt đầu một bài LAB</x:v>
      </x:c>
      <x:c r="O2" s="39" t="str">
        <x:v>Khảo sát cách nhóm bắt đầu một bài LAB</x:v>
      </x:c>
      <x:c r="P2" s="39" t="str">
        <x:v>Khảo sát cách nhóm bắt đầu một bài LAB</x:v>
      </x:c>
      <x:c r="Q2" s="39" t="str">
        <x:v>Khảo sát cách nhóm bắt đầu một bài LAB</x:v>
      </x:c>
      <x:c r="R2" s="39" t="str">
        <x:v>Khảo sát cách nhóm bắt đầu một bài LAB</x:v>
      </x:c>
      <x:c r="S2" s="1"/>
      <x:c r="T2" s="1"/>
      <x:c r="U2" s="1"/>
      <x:c r="V2" s="1"/>
      <x:c r="W2" s="1"/>
      <x:c r="X2" s="1"/>
      <x:c r="Y2" s="1"/>
      <x:c r="Z2" s="1"/>
    </x:row>
    <x:row r="3" ht="34" customHeight="1">
      <x:c r="A3" s="41" t="str">
        <x:v>Chart chính: snapshot 22 phản hồi, loại 2 người chưa từng làm LAB nhóm → n=20. File mới nhất có 25 phản hồi, lọc còn n=23.</x:v>
      </x:c>
      <x:c r="B3" s="41" t="str">
        <x:v>Chart chính: snapshot 22 phản hồi, loại 2 người chưa từng làm LAB nhóm → n=20. File mới nhất có 25 phản hồi, lọc còn n=23.</x:v>
      </x:c>
      <x:c r="C3" s="41" t="str">
        <x:v>Chart chính: snapshot 22 phản hồi, loại 2 người chưa từng làm LAB nhóm → n=20. File mới nhất có 25 phản hồi, lọc còn n=23.</x:v>
      </x:c>
      <x:c r="D3" s="41" t="str">
        <x:v>Chart chính: snapshot 22 phản hồi, loại 2 người chưa từng làm LAB nhóm → n=20. File mới nhất có 25 phản hồi, lọc còn n=23.</x:v>
      </x:c>
      <x:c r="E3" s="41" t="str">
        <x:v>Chart chính: snapshot 22 phản hồi, loại 2 người chưa từng làm LAB nhóm → n=20. File mới nhất có 25 phản hồi, lọc còn n=23.</x:v>
      </x:c>
      <x:c r="F3" s="41" t="str">
        <x:v>Chart chính: snapshot 22 phản hồi, loại 2 người chưa từng làm LAB nhóm → n=20. File mới nhất có 25 phản hồi, lọc còn n=23.</x:v>
      </x:c>
      <x:c r="G3" s="41" t="str">
        <x:v>Chart chính: snapshot 22 phản hồi, loại 2 người chưa từng làm LAB nhóm → n=20. File mới nhất có 25 phản hồi, lọc còn n=23.</x:v>
      </x:c>
      <x:c r="H3" s="41" t="str">
        <x:v>Chart chính: snapshot 22 phản hồi, loại 2 người chưa từng làm LAB nhóm → n=20. File mới nhất có 25 phản hồi, lọc còn n=23.</x:v>
      </x:c>
      <x:c r="I3" s="41" t="str">
        <x:v>Chart chính: snapshot 22 phản hồi, loại 2 người chưa từng làm LAB nhóm → n=20. File mới nhất có 25 phản hồi, lọc còn n=23.</x:v>
      </x:c>
      <x:c r="J3" s="41" t="str">
        <x:v>Chart chính: snapshot 22 phản hồi, loại 2 người chưa từng làm LAB nhóm → n=20. File mới nhất có 25 phản hồi, lọc còn n=23.</x:v>
      </x:c>
      <x:c r="K3" s="41" t="str">
        <x:v>Chart chính: snapshot 22 phản hồi, loại 2 người chưa từng làm LAB nhóm → n=20. File mới nhất có 25 phản hồi, lọc còn n=23.</x:v>
      </x:c>
      <x:c r="L3" s="41" t="str">
        <x:v>Chart chính: snapshot 22 phản hồi, loại 2 người chưa từng làm LAB nhóm → n=20. File mới nhất có 25 phản hồi, lọc còn n=23.</x:v>
      </x:c>
      <x:c r="M3" s="41" t="str">
        <x:v>Chart chính: snapshot 22 phản hồi, loại 2 người chưa từng làm LAB nhóm → n=20. File mới nhất có 25 phản hồi, lọc còn n=23.</x:v>
      </x:c>
      <x:c r="N3" s="41" t="str">
        <x:v>Chart chính: snapshot 22 phản hồi, loại 2 người chưa từng làm LAB nhóm → n=20. File mới nhất có 25 phản hồi, lọc còn n=23.</x:v>
      </x:c>
      <x:c r="O3" s="41" t="str">
        <x:v>Chart chính: snapshot 22 phản hồi, loại 2 người chưa từng làm LAB nhóm → n=20. File mới nhất có 25 phản hồi, lọc còn n=23.</x:v>
      </x:c>
      <x:c r="P3" s="41" t="str">
        <x:v>Chart chính: snapshot 22 phản hồi, loại 2 người chưa từng làm LAB nhóm → n=20. File mới nhất có 25 phản hồi, lọc còn n=23.</x:v>
      </x:c>
      <x:c r="Q3" s="41" t="str">
        <x:v>Chart chính: snapshot 22 phản hồi, loại 2 người chưa từng làm LAB nhóm → n=20. File mới nhất có 25 phản hồi, lọc còn n=23.</x:v>
      </x:c>
      <x:c r="R3" s="41" t="str">
        <x:v>Chart chính: snapshot 22 phản hồi, loại 2 người chưa từng làm LAB nhóm → n=20. File mới nhất có 25 phản hồi, lọc còn n=23.</x:v>
      </x:c>
      <x:c r="S3" s="1"/>
      <x:c r="T3" s="1"/>
      <x:c r="U3" s="1"/>
      <x:c r="V3" s="1"/>
      <x:c r="W3" s="1"/>
      <x:c r="X3" s="1"/>
      <x:c r="Y3" s="1"/>
      <x:c r="Z3" s="1"/>
    </x:row>
    <x:row r="4">
      <x:c r="A4" s="42"/>
      <x:c r="B4" s="42"/>
      <x:c r="C4" s="42"/>
      <x:c r="D4" s="42"/>
      <x:c r="E4" s="42"/>
      <x:c r="F4" s="42"/>
      <x:c r="G4" s="42"/>
      <x:c r="H4" s="42"/>
      <x:c r="I4" s="42"/>
      <x:c r="J4" s="42"/>
      <x:c r="K4" s="42"/>
      <x:c r="L4" s="42"/>
      <x:c r="M4" s="42"/>
      <x:c r="N4" s="42"/>
      <x:c r="O4" s="42"/>
      <x:c r="P4" s="42"/>
      <x:c r="Q4" s="42"/>
      <x:c r="R4" s="42"/>
      <x:c r="S4" s="1"/>
      <x:c r="T4" s="1"/>
      <x:c r="U4" s="1"/>
      <x:c r="V4" s="1"/>
      <x:c r="W4" s="1"/>
      <x:c r="X4" s="1"/>
      <x:c r="Y4" s="1"/>
      <x:c r="Z4" s="1"/>
    </x:row>
    <x:row r="5">
      <x:c r="A5" s="70" t="str">
        <x:v>Mẫu hợp lệ</x:v>
      </x:c>
      <x:c r="B5" s="71" t="str">
        <x:v>Mẫu hợp lệ</x:v>
      </x:c>
      <x:c r="C5" s="72" t="str">
        <x:v>Mẫu hợp lệ</x:v>
      </x:c>
      <x:c r="D5" s="112" t="str">
        <x:v>Dựa vào README/repo</x:v>
      </x:c>
      <x:c r="E5" s="113" t="str">
        <x:v>Dựa vào README/repo</x:v>
      </x:c>
      <x:c r="F5" s="114" t="str">
        <x:v>Dựa vào README/repo</x:v>
      </x:c>
      <x:c r="G5" s="154" t="str">
        <x:v>≥15 phút hoặc vẫn chưa rõ</x:v>
      </x:c>
      <x:c r="H5" s="155" t="str">
        <x:v>≥15 phút hoặc vẫn chưa rõ</x:v>
      </x:c>
      <x:c r="I5" s="156" t="str">
        <x:v>≥15 phút hoặc vẫn chưa rõ</x:v>
      </x:c>
      <x:c r="J5" s="154" t="str">
        <x:v>Bị bỏ sót phần việc</x:v>
      </x:c>
      <x:c r="K5" s="155" t="str">
        <x:v>Bị bỏ sót phần việc</x:v>
      </x:c>
      <x:c r="L5" s="156" t="str">
        <x:v>Bị bỏ sót phần việc</x:v>
      </x:c>
      <x:c r="M5" s="70" t="str">
        <x:v>Mất thêm thời gian</x:v>
      </x:c>
      <x:c r="N5" s="71" t="str">
        <x:v>Mất thêm thời gian</x:v>
      </x:c>
      <x:c r="O5" s="72" t="str">
        <x:v>Mất thêm thời gian</x:v>
      </x:c>
      <x:c r="P5" s="112" t="str">
        <x:v>Dùng hồ sơ kỹ năng</x:v>
      </x:c>
      <x:c r="Q5" s="113" t="str">
        <x:v>Dùng hồ sơ kỹ năng</x:v>
      </x:c>
      <x:c r="R5" s="114" t="str">
        <x:v>Dùng hồ sơ kỹ năng</x:v>
      </x:c>
      <x:c r="S5" s="1"/>
      <x:c r="T5" s="1"/>
      <x:c r="U5" s="1"/>
      <x:c r="V5" s="1"/>
      <x:c r="W5" s="1"/>
      <x:c r="X5" s="1"/>
      <x:c r="Y5" s="1"/>
      <x:c r="Z5" s="1"/>
    </x:row>
    <x:row r="6">
      <x:c r="A6" s="79" t="n">
        <x:f>'Bảng số liệu'!B6</x:f>
        <x:v>20</x:v>
      </x:c>
      <x:c r="B6" s="80"/>
      <x:c r="C6" s="81"/>
      <x:c r="D6" s="121" t="n">
        <x:f>'Bảng số liệu'!C24</x:f>
        <x:v>0.8</x:v>
      </x:c>
      <x:c r="E6" s="122"/>
      <x:c r="F6" s="123"/>
      <x:c r="G6" s="163" t="n">
        <x:f>SUM('Bảng số liệu'!B18:B20)/20</x:f>
        <x:v>0.55</x:v>
      </x:c>
      <x:c r="H6" s="164"/>
      <x:c r="I6" s="165"/>
      <x:c r="J6" s="163" t="n">
        <x:f>'Bảng số liệu'!C33</x:f>
        <x:v>0.6</x:v>
      </x:c>
      <x:c r="K6" s="164"/>
      <x:c r="L6" s="165"/>
      <x:c r="M6" s="169" t="n">
        <x:f>'Bảng số liệu'!C45</x:f>
        <x:v>0.75</x:v>
      </x:c>
      <x:c r="N6" s="170"/>
      <x:c r="O6" s="171"/>
      <x:c r="P6" s="121" t="n">
        <x:f>'Bảng số liệu'!C67</x:f>
        <x:v>0.05</x:v>
      </x:c>
      <x:c r="Q6" s="122"/>
      <x:c r="R6" s="123"/>
      <x:c r="S6" s="1"/>
      <x:c r="T6" s="1"/>
      <x:c r="U6" s="1"/>
      <x:c r="V6" s="1"/>
      <x:c r="W6" s="1"/>
      <x:c r="X6" s="1"/>
      <x:c r="Y6" s="1"/>
      <x:c r="Z6" s="1"/>
    </x:row>
    <x:row r="7">
      <x:c r="A7" s="79"/>
      <x:c r="B7" s="80"/>
      <x:c r="C7" s="81"/>
      <x:c r="D7" s="121"/>
      <x:c r="E7" s="122"/>
      <x:c r="F7" s="123"/>
      <x:c r="G7" s="163"/>
      <x:c r="H7" s="164"/>
      <x:c r="I7" s="165"/>
      <x:c r="J7" s="163"/>
      <x:c r="K7" s="164"/>
      <x:c r="L7" s="165"/>
      <x:c r="M7" s="169"/>
      <x:c r="N7" s="170"/>
      <x:c r="O7" s="171"/>
      <x:c r="P7" s="121"/>
      <x:c r="Q7" s="122"/>
      <x:c r="R7" s="123"/>
      <x:c r="S7" s="1"/>
      <x:c r="T7" s="1"/>
      <x:c r="U7" s="1"/>
      <x:c r="V7" s="1"/>
      <x:c r="W7" s="1"/>
      <x:c r="X7" s="1"/>
      <x:c r="Y7" s="1"/>
      <x:c r="Z7" s="1"/>
    </x:row>
    <x:row r="8">
      <x:c r="A8" s="82"/>
      <x:c r="B8" s="83"/>
      <x:c r="C8" s="84"/>
      <x:c r="D8" s="124"/>
      <x:c r="E8" s="125"/>
      <x:c r="F8" s="126"/>
      <x:c r="G8" s="166"/>
      <x:c r="H8" s="167"/>
      <x:c r="I8" s="168"/>
      <x:c r="J8" s="166"/>
      <x:c r="K8" s="167"/>
      <x:c r="L8" s="168"/>
      <x:c r="M8" s="172"/>
      <x:c r="N8" s="173"/>
      <x:c r="O8" s="174"/>
      <x:c r="P8" s="124"/>
      <x:c r="Q8" s="125"/>
      <x:c r="R8" s="126"/>
      <x:c r="S8" s="1"/>
      <x:c r="T8" s="1"/>
      <x:c r="U8" s="1"/>
      <x:c r="V8" s="1"/>
      <x:c r="W8" s="1"/>
      <x:c r="X8" s="1"/>
      <x:c r="Y8" s="1"/>
      <x:c r="Z8" s="1"/>
    </x:row>
    <x:row r="9">
      <x:c r="A9" s="1"/>
      <x:c r="B9" s="1"/>
      <x:c r="C9" s="1"/>
      <x:c r="D9" s="1"/>
      <x:c r="E9" s="1"/>
      <x:c r="F9" s="1"/>
      <x:c r="G9" s="1"/>
      <x:c r="H9" s="1"/>
      <x:c r="I9" s="1"/>
      <x:c r="J9" s="1"/>
      <x:c r="K9" s="1"/>
      <x:c r="L9" s="1"/>
      <x:c r="M9" s="1"/>
      <x:c r="N9" s="1"/>
      <x:c r="O9" s="1"/>
      <x:c r="P9" s="1"/>
      <x:c r="Q9" s="1"/>
      <x:c r="R9" s="1"/>
      <x:c r="S9" s="1"/>
      <x:c r="T9" s="1"/>
      <x:c r="U9" s="1"/>
      <x:c r="V9" s="1"/>
      <x:c r="W9" s="1"/>
      <x:c r="X9" s="1"/>
      <x:c r="Y9" s="1"/>
      <x:c r="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75" t="str">
        <x:v>Kết luận dùng cho Canvas/Spec</x:v>
      </x:c>
      <x:c r="B49" s="175" t="str">
        <x:v>Kết luận dùng cho Canvas/Spec</x:v>
      </x:c>
      <x:c r="C49" s="175" t="str">
        <x:v>Kết luận dùng cho Canvas/Spec</x:v>
      </x:c>
      <x:c r="D49" s="175" t="str">
        <x:v>Kết luận dùng cho Canvas/Spec</x:v>
      </x:c>
      <x:c r="E49" s="175" t="str">
        <x:v>Kết luận dùng cho Canvas/Spec</x:v>
      </x:c>
      <x:c r="F49" s="175" t="str">
        <x:v>Kết luận dùng cho Canvas/Spec</x:v>
      </x:c>
      <x:c r="G49" s="175" t="str">
        <x:v>Kết luận dùng cho Canvas/Spec</x:v>
      </x:c>
      <x:c r="H49" s="175" t="str">
        <x:v>Kết luận dùng cho Canvas/Spec</x:v>
      </x:c>
      <x:c r="I49" s="175" t="str">
        <x:v>Kết luận dùng cho Canvas/Spec</x:v>
      </x:c>
      <x:c r="J49" s="175" t="str">
        <x:v>Kết luận dùng cho Canvas/Spec</x:v>
      </x:c>
      <x:c r="K49" s="175" t="str">
        <x:v>Kết luận dùng cho Canvas/Spec</x:v>
      </x:c>
      <x:c r="L49" s="175" t="str">
        <x:v>Kết luận dùng cho Canvas/Spec</x:v>
      </x:c>
      <x:c r="M49" s="175" t="str">
        <x:v>Kết luận dùng cho Canvas/Spec</x:v>
      </x:c>
      <x:c r="N49" s="175" t="str">
        <x:v>Kết luận dùng cho Canvas/Spec</x:v>
      </x:c>
      <x:c r="O49" s="175" t="str">
        <x:v>Kết luận dùng cho Canvas/Spec</x:v>
      </x:c>
      <x:c r="P49" s="175" t="str">
        <x:v>Kết luận dùng cho Canvas/Spec</x:v>
      </x:c>
      <x:c r="Q49" s="175" t="str">
        <x:v>Kết luận dùng cho Canvas/Spec</x:v>
      </x:c>
      <x:c r="R49" s="175" t="str">
        <x:v>Kết luận dùng cho Canvas/Spec</x:v>
      </x:c>
      <x:c r="S49" s="1"/>
      <x:c r="T49" s="1"/>
      <x:c r="U49" s="1"/>
      <x:c r="V49" s="1"/>
      <x:c r="W49" s="1"/>
      <x:c r="X49" s="1"/>
      <x:c r="Y49" s="1"/>
      <x:c r="Z49" s="1"/>
    </x:row>
    <x:row r="50" ht="30" customHeight="1">
      <x:c r="A50" s="185"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B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C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D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E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F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G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H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I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J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K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L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M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N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O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P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Q50" s="186"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R50" s="187"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S50" s="1"/>
      <x:c r="T50" s="1"/>
      <x:c r="U50" s="1"/>
      <x:c r="V50" s="1"/>
      <x:c r="W50" s="1"/>
      <x:c r="X50" s="1"/>
      <x:c r="Y50" s="1"/>
      <x:c r="Z50" s="1"/>
    </x:row>
    <x:row r="51" ht="30" customHeight="1">
      <x:c r="A51" s="188"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B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C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D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E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F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G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H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I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J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K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L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M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N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O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P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Q51" s="189"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R51" s="190"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S51" s="1"/>
      <x:c r="T51" s="1"/>
      <x:c r="U51" s="1"/>
      <x:c r="V51" s="1"/>
      <x:c r="W51" s="1"/>
      <x:c r="X51" s="1"/>
      <x:c r="Y51" s="1"/>
      <x:c r="Z51" s="1"/>
    </x:row>
    <x:row r="52" ht="30" customHeight="1">
      <x:c r="A52" s="191"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B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C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D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E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F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G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H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I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J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K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L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M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N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O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P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Q52" s="192"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R52" s="193" t="str">
        <x:v>Trong 20 phản hồi hợp lệ của snapshot ban đầu, 16 người (80,0%) dùng README/repo để xác định đầu việc; 11 người (55,0%) mất ít nhất 15 phút hoặc cuối cùng vẫn chưa rõ; 12 người (60,0%) từng bỏ sót phần việc; 15 người (75,0%) ghi nhận mất thêm thời gian. Chỉ 1 người (5,0%) cho biết nhóm dựa trên hồ sơ kỹ năng để phân task. Kết quả ủng hộ pain: chuyển yêu cầu trong repo thành phân công rõ ràng còn chậm, dễ bỏ sót và ít dựa trên dữ liệu năng lực có cấu trúc.</x:v>
      </x:c>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3" t="str">
        <x:v>So sánh snapshot và dữ liệu mới nhất</x:v>
      </x:c>
      <x:c r="B54" s="3" t="str">
        <x:v>So sánh snapshot và dữ liệu mới nhất</x:v>
      </x:c>
      <x:c r="C54" s="3" t="str">
        <x:v>So sánh snapshot và dữ liệu mới nhất</x:v>
      </x:c>
      <x:c r="D54" s="3" t="str">
        <x:v>So sánh snapshot và dữ liệu mới nhất</x:v>
      </x:c>
      <x:c r="E54" s="3" t="str">
        <x:v>So sánh snapshot và dữ liệu mới nhất</x:v>
      </x:c>
      <x:c r="F54" s="3" t="str">
        <x:v>So sánh snapshot và dữ liệu mới nhất</x:v>
      </x:c>
      <x:c r="G54" s="3" t="str">
        <x:v>So sánh snapshot và dữ liệu mới nhất</x:v>
      </x:c>
      <x:c r="H54" s="3" t="str">
        <x:v>So sánh snapshot và dữ liệu mới nhất</x:v>
      </x:c>
      <x:c r="I54" s="1"/>
      <x:c r="J54" s="3" t="str">
        <x:v>Giới hạn và hành động tiếp theo</x:v>
      </x:c>
      <x:c r="K54" s="3" t="str">
        <x:v>Giới hạn và hành động tiếp theo</x:v>
      </x:c>
      <x:c r="L54" s="3" t="str">
        <x:v>Giới hạn và hành động tiếp theo</x:v>
      </x:c>
      <x:c r="M54" s="3" t="str">
        <x:v>Giới hạn và hành động tiếp theo</x:v>
      </x:c>
      <x:c r="N54" s="3" t="str">
        <x:v>Giới hạn và hành động tiếp theo</x:v>
      </x:c>
      <x:c r="O54" s="3" t="str">
        <x:v>Giới hạn và hành động tiếp theo</x:v>
      </x:c>
      <x:c r="P54" s="3" t="str">
        <x:v>Giới hạn và hành động tiếp theo</x:v>
      </x:c>
      <x:c r="Q54" s="3" t="str">
        <x:v>Giới hạn và hành động tiếp theo</x:v>
      </x:c>
      <x:c r="R54" s="3" t="str">
        <x:v>Giới hạn và hành động tiếp theo</x:v>
      </x:c>
      <x:c r="S54" s="1"/>
      <x:c r="T54" s="1"/>
      <x:c r="U54" s="1"/>
      <x:c r="V54" s="1"/>
      <x:c r="W54" s="1"/>
      <x:c r="X54" s="1"/>
      <x:c r="Y54" s="1"/>
      <x:c r="Z54" s="1"/>
    </x:row>
    <x:row r="55" ht="28" customHeight="1">
      <x:c r="A55" s="196" t="str">
        <x:v>Chỉ số</x:v>
      </x:c>
      <x:c r="B55" s="196" t="str">
        <x:v>Snapshot n=20</x:v>
      </x:c>
      <x:c r="C55" s="196" t="str">
        <x:v>Mới nhất n=23</x:v>
      </x:c>
      <x:c r="D55" s="1"/>
      <x:c r="E55" s="1"/>
      <x:c r="F55" s="1"/>
      <x:c r="G55" s="1"/>
      <x:c r="H55" s="1"/>
      <x:c r="I55" s="1"/>
      <x:c r="J55" s="206"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K55" s="207"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L55" s="207"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M55" s="207"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N55" s="207"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O55" s="207"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P55" s="207"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Q55" s="207"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R55" s="208"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S55" s="1"/>
      <x:c r="T55" s="1"/>
      <x:c r="U55" s="1"/>
      <x:c r="V55" s="1"/>
      <x:c r="W55" s="1"/>
      <x:c r="X55" s="1"/>
      <x:c r="Y55" s="1"/>
      <x:c r="Z55" s="1"/>
    </x:row>
    <x:row r="56" ht="28" customHeight="1">
      <x:c r="A56" s="16" t="str">
        <x:v>Dựa vào README/repo</x:v>
      </x:c>
      <x:c r="B56" s="35" t="n">
        <x:f>'Bảng số liệu'!C24</x:f>
        <x:v>0.8</x:v>
      </x:c>
      <x:c r="C56" s="35" t="n">
        <x:f>'Bảng số liệu'!E24</x:f>
        <x:v>0.8260869565217391</x:v>
      </x:c>
      <x:c r="D56" s="1"/>
      <x:c r="E56" s="1"/>
      <x:c r="F56" s="1"/>
      <x:c r="G56" s="1"/>
      <x:c r="H56" s="1"/>
      <x:c r="I56" s="1"/>
      <x:c r="J56" s="209"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K56"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L56"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M56"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N56"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O56"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P56"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Q56"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R56" s="211"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S56" s="1"/>
      <x:c r="T56" s="1"/>
      <x:c r="U56" s="1"/>
      <x:c r="V56" s="1"/>
      <x:c r="W56" s="1"/>
      <x:c r="X56" s="1"/>
      <x:c r="Y56" s="1"/>
      <x:c r="Z56" s="1"/>
    </x:row>
    <x:row r="57" ht="28" customHeight="1">
      <x:c r="A57" s="17" t="str">
        <x:v>≥15 phút hoặc vẫn chưa rõ</x:v>
      </x:c>
      <x:c r="B57" s="36" t="n">
        <x:f>SUM('Bảng số liệu'!B18:B20)/20</x:f>
        <x:v>0.55</x:v>
      </x:c>
      <x:c r="C57" s="36" t="n">
        <x:f>SUM('Bảng số liệu'!D18:D20)/23</x:f>
        <x:v>0.4782608695652174</x:v>
      </x:c>
      <x:c r="D57" s="1"/>
      <x:c r="E57" s="1"/>
      <x:c r="F57" s="1"/>
      <x:c r="G57" s="1"/>
      <x:c r="H57" s="1"/>
      <x:c r="I57" s="1"/>
      <x:c r="J57" s="209"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K57"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L57"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M57"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N57"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O57"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P57"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Q57"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R57" s="211"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S57" s="1"/>
      <x:c r="T57" s="1"/>
      <x:c r="U57" s="1"/>
      <x:c r="V57" s="1"/>
      <x:c r="W57" s="1"/>
      <x:c r="X57" s="1"/>
      <x:c r="Y57" s="1"/>
      <x:c r="Z57" s="1"/>
    </x:row>
    <x:row r="58" ht="28" customHeight="1">
      <x:c r="A58" s="17" t="str">
        <x:v>Bỏ sót phần việc</x:v>
      </x:c>
      <x:c r="B58" s="36" t="n">
        <x:f>'Bảng số liệu'!C33</x:f>
        <x:v>0.6</x:v>
      </x:c>
      <x:c r="C58" s="36" t="n">
        <x:f>'Bảng số liệu'!E33</x:f>
        <x:v>0.5652173913043478</x:v>
      </x:c>
      <x:c r="D58" s="1"/>
      <x:c r="E58" s="1"/>
      <x:c r="F58" s="1"/>
      <x:c r="G58" s="1"/>
      <x:c r="H58" s="1"/>
      <x:c r="I58" s="1"/>
      <x:c r="J58" s="209"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K58"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L58"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M58"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N58"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O58"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P58"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Q58" s="210"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R58" s="211"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S58" s="1"/>
      <x:c r="T58" s="1"/>
      <x:c r="U58" s="1"/>
      <x:c r="V58" s="1"/>
      <x:c r="W58" s="1"/>
      <x:c r="X58" s="1"/>
      <x:c r="Y58" s="1"/>
      <x:c r="Z58" s="1"/>
    </x:row>
    <x:row r="59" ht="28" customHeight="1">
      <x:c r="A59" s="17" t="str">
        <x:v>Mất thêm thời gian</x:v>
      </x:c>
      <x:c r="B59" s="36" t="n">
        <x:f>'Bảng số liệu'!C45</x:f>
        <x:v>0.75</x:v>
      </x:c>
      <x:c r="C59" s="36" t="n">
        <x:f>'Bảng số liệu'!E45</x:f>
        <x:v>0.7391304347826086</x:v>
      </x:c>
      <x:c r="D59" s="1"/>
      <x:c r="E59" s="1"/>
      <x:c r="F59" s="1"/>
      <x:c r="G59" s="1"/>
      <x:c r="H59" s="1"/>
      <x:c r="I59" s="1"/>
      <x:c r="J59" s="212"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K59" s="213"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L59" s="213"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M59" s="213"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N59" s="213"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O59" s="213"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P59" s="213"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Q59" s="213"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R59" s="214" t="str">
        <x:v>• Đây là mẫu thuận tiện, tự khai và câu hỏi nhiều lựa chọn; không suy rộng cho toàn khóa.
• Form chưa thu quote nguyên văn về một tình huống cụ thể; cần phỏng vấn bổ sung ít nhất 5 người.
• Có 3 phản hồi để lại thông tin liên hệ dùng được; cần nhắn xác nhận khung giờ dùng thử trước khi tính là willing user đã cam kết.
• Dữ liệu liên hệ gốc không xuất hiện trong workbook này.</x:v>
      </x:c>
      <x:c r="S59" s="1"/>
      <x:c r="T59" s="1"/>
      <x:c r="U59" s="1"/>
      <x:c r="V59" s="1"/>
      <x:c r="W59" s="1"/>
      <x:c r="X59" s="1"/>
      <x:c r="Y59" s="1"/>
      <x:c r="Z59" s="1"/>
    </x:row>
    <x:row r="60">
      <x:c r="A60" s="17" t="str">
        <x:v>Chất lượng bài giảm</x:v>
      </x:c>
      <x:c r="B60" s="36" t="n">
        <x:f>'Bảng số liệu'!C46</x:f>
        <x:v>0.75</x:v>
      </x:c>
      <x:c r="C60" s="36" t="n">
        <x:f>'Bảng số liệu'!E46</x:f>
        <x:v>0.6956521739130435</x:v>
      </x:c>
      <x:c r="D60" s="1"/>
      <x:c r="E60" s="1"/>
      <x:c r="F60" s="1"/>
      <x:c r="G60" s="1"/>
      <x:c r="H60" s="1"/>
      <x:c r="I60" s="1"/>
      <x:c r="J60" s="1"/>
      <x:c r="K60" s="1"/>
      <x:c r="L60" s="1"/>
      <x:c r="M60" s="1"/>
      <x:c r="N60" s="1"/>
      <x:c r="O60" s="1"/>
      <x:c r="P60" s="1"/>
      <x:c r="Q60" s="1"/>
      <x:c r="R60" s="1"/>
      <x:c r="S60" s="1"/>
      <x:c r="T60" s="1"/>
      <x:c r="U60" s="1"/>
      <x:c r="V60" s="1"/>
      <x:c r="W60" s="1"/>
      <x:c r="X60" s="1"/>
      <x:c r="Y60" s="1"/>
      <x:c r="Z60" s="1"/>
    </x:row>
    <x:row r="61">
      <x:c r="A61" s="17" t="str">
        <x:v>Dựa trên hồ sơ kỹ năng</x:v>
      </x:c>
      <x:c r="B61" s="36" t="n">
        <x:f>'Bảng số liệu'!C67</x:f>
        <x:v>0.05</x:v>
      </x:c>
      <x:c r="C61" s="36" t="n">
        <x:f>'Bảng số liệu'!E67</x:f>
        <x:v>0.043478260869565216</x:v>
      </x:c>
      <x:c r="D61" s="1"/>
      <x:c r="E61" s="1"/>
      <x:c r="F61" s="1"/>
      <x:c r="G61" s="1"/>
      <x:c r="H61" s="1"/>
      <x:c r="I61" s="1"/>
      <x:c r="J61" s="195" t="str">
        <x:v>Nguồn</x:v>
      </x:c>
      <x:c r="K61" s="195" t="str">
        <x:v>Nguồn</x:v>
      </x:c>
      <x:c r="L61" s="195" t="str">
        <x:v>Nguồn</x:v>
      </x:c>
      <x:c r="M61" s="195" t="str">
        <x:v>Nguồn</x:v>
      </x:c>
      <x:c r="N61" s="195" t="str">
        <x:v>Nguồn</x:v>
      </x:c>
      <x:c r="O61" s="195" t="str">
        <x:v>Nguồn</x:v>
      </x:c>
      <x:c r="P61" s="195" t="str">
        <x:v>Nguồn</x:v>
      </x:c>
      <x:c r="Q61" s="195" t="str">
        <x:v>Nguồn</x:v>
      </x:c>
      <x:c r="R61" s="195" t="str">
        <x:v>Nguồn</x:v>
      </x:c>
      <x:c r="S61" s="1"/>
      <x:c r="T61" s="1"/>
      <x:c r="U61" s="1"/>
      <x:c r="V61" s="1"/>
      <x:c r="W61" s="1"/>
      <x:c r="X61" s="1"/>
      <x:c r="Y61" s="1"/>
      <x:c r="Z61" s="1"/>
    </x:row>
    <x:row r="62">
      <x:c r="A62" s="18" t="str">
        <x:v>Chia task ngẫu nhiên</x:v>
      </x:c>
      <x:c r="B62" s="37" t="n">
        <x:f>'Bảng số liệu'!C65</x:f>
        <x:v>0.2</x:v>
      </x:c>
      <x:c r="C62" s="37" t="n">
        <x:f>'Bảng số liệu'!E65</x:f>
        <x:v>0.21739130434782608</x:v>
      </x:c>
      <x:c r="D62" s="1"/>
      <x:c r="E62" s="1"/>
      <x:c r="F62" s="1"/>
      <x:c r="G62" s="1"/>
      <x:c r="H62" s="1"/>
      <x:c r="I62" s="1"/>
      <x:c r="J62" s="217" t="str">
        <x:v>Google Forms: “Khảo sát cách nhóm bắt đầu một bài LAB”. File xuất XLSX do nhóm cung cấp; báo cáo tạo từ dữ liệu từng dòng và đã bỏ thông tin liên hệ.</x:v>
      </x:c>
      <x:c r="K62" s="217" t="str">
        <x:v>Google Forms: “Khảo sát cách nhóm bắt đầu một bài LAB”. File xuất XLSX do nhóm cung cấp; báo cáo tạo từ dữ liệu từng dòng và đã bỏ thông tin liên hệ.</x:v>
      </x:c>
      <x:c r="L62" s="217" t="str">
        <x:v>Google Forms: “Khảo sát cách nhóm bắt đầu một bài LAB”. File xuất XLSX do nhóm cung cấp; báo cáo tạo từ dữ liệu từng dòng và đã bỏ thông tin liên hệ.</x:v>
      </x:c>
      <x:c r="M62" s="217" t="str">
        <x:v>Google Forms: “Khảo sát cách nhóm bắt đầu một bài LAB”. File xuất XLSX do nhóm cung cấp; báo cáo tạo từ dữ liệu từng dòng và đã bỏ thông tin liên hệ.</x:v>
      </x:c>
      <x:c r="N62" s="217" t="str">
        <x:v>Google Forms: “Khảo sát cách nhóm bắt đầu một bài LAB”. File xuất XLSX do nhóm cung cấp; báo cáo tạo từ dữ liệu từng dòng và đã bỏ thông tin liên hệ.</x:v>
      </x:c>
      <x:c r="O62" s="217" t="str">
        <x:v>Google Forms: “Khảo sát cách nhóm bắt đầu một bài LAB”. File xuất XLSX do nhóm cung cấp; báo cáo tạo từ dữ liệu từng dòng và đã bỏ thông tin liên hệ.</x:v>
      </x:c>
      <x:c r="P62" s="217" t="str">
        <x:v>Google Forms: “Khảo sát cách nhóm bắt đầu một bài LAB”. File xuất XLSX do nhóm cung cấp; báo cáo tạo từ dữ liệu từng dòng và đã bỏ thông tin liên hệ.</x:v>
      </x:c>
      <x:c r="Q62" s="217" t="str">
        <x:v>Google Forms: “Khảo sát cách nhóm bắt đầu một bài LAB”. File xuất XLSX do nhóm cung cấp; báo cáo tạo từ dữ liệu từng dòng và đã bỏ thông tin liên hệ.</x:v>
      </x:c>
      <x:c r="R62" s="217" t="str">
        <x:v>Google Forms: “Khảo sát cách nhóm bắt đầu một bài LAB”. File xuất XLSX do nhóm cung cấp; báo cáo tạo từ dữ liệu từng dòng và đã bỏ thông tin liên hệ.</x:v>
      </x:c>
      <x:c r="S62" s="1"/>
      <x:c r="T62" s="1"/>
      <x:c r="U62" s="1"/>
      <x:c r="V62" s="1"/>
      <x:c r="W62" s="1"/>
      <x:c r="X62" s="1"/>
      <x:c r="Y62" s="1"/>
      <x:c r="Z62" s="1"/>
    </x:row>
    <x:row r="63">
      <x:c r="A63" s="1"/>
      <x:c r="B63" s="1"/>
      <x:c r="C63" s="1"/>
      <x:c r="D63" s="1"/>
      <x:c r="E63" s="1"/>
      <x:c r="F63" s="1"/>
      <x:c r="G63" s="1"/>
      <x:c r="H63" s="1"/>
      <x:c r="I63" s="1"/>
      <x:c r="J63" s="217" t="str">
        <x:v>Google Forms: “Khảo sát cách nhóm bắt đầu một bài LAB”. File xuất XLSX do nhóm cung cấp; báo cáo tạo từ dữ liệu từng dòng và đã bỏ thông tin liên hệ.</x:v>
      </x:c>
      <x:c r="K63" s="217" t="str">
        <x:v>Google Forms: “Khảo sát cách nhóm bắt đầu một bài LAB”. File xuất XLSX do nhóm cung cấp; báo cáo tạo từ dữ liệu từng dòng và đã bỏ thông tin liên hệ.</x:v>
      </x:c>
      <x:c r="L63" s="217" t="str">
        <x:v>Google Forms: “Khảo sát cách nhóm bắt đầu một bài LAB”. File xuất XLSX do nhóm cung cấp; báo cáo tạo từ dữ liệu từng dòng và đã bỏ thông tin liên hệ.</x:v>
      </x:c>
      <x:c r="M63" s="217" t="str">
        <x:v>Google Forms: “Khảo sát cách nhóm bắt đầu một bài LAB”. File xuất XLSX do nhóm cung cấp; báo cáo tạo từ dữ liệu từng dòng và đã bỏ thông tin liên hệ.</x:v>
      </x:c>
      <x:c r="N63" s="217" t="str">
        <x:v>Google Forms: “Khảo sát cách nhóm bắt đầu một bài LAB”. File xuất XLSX do nhóm cung cấp; báo cáo tạo từ dữ liệu từng dòng và đã bỏ thông tin liên hệ.</x:v>
      </x:c>
      <x:c r="O63" s="217" t="str">
        <x:v>Google Forms: “Khảo sát cách nhóm bắt đầu một bài LAB”. File xuất XLSX do nhóm cung cấp; báo cáo tạo từ dữ liệu từng dòng và đã bỏ thông tin liên hệ.</x:v>
      </x:c>
      <x:c r="P63" s="217" t="str">
        <x:v>Google Forms: “Khảo sát cách nhóm bắt đầu một bài LAB”. File xuất XLSX do nhóm cung cấp; báo cáo tạo từ dữ liệu từng dòng và đã bỏ thông tin liên hệ.</x:v>
      </x:c>
      <x:c r="Q63" s="217" t="str">
        <x:v>Google Forms: “Khảo sát cách nhóm bắt đầu một bài LAB”. File xuất XLSX do nhóm cung cấp; báo cáo tạo từ dữ liệu từng dòng và đã bỏ thông tin liên hệ.</x:v>
      </x:c>
      <x:c r="R63" s="217" t="str">
        <x:v>Google Forms: “Khảo sát cách nhóm bắt đầu một bài LAB”. File xuất XLSX do nhóm cung cấp; báo cáo tạo từ dữ liệu từng dòng và đã bỏ thông tin liên hệ.</x:v>
      </x:c>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2:R2"/>
    <x:mergeCell ref="A3:R3"/>
    <x:mergeCell ref="A5:C5"/>
    <x:mergeCell ref="A6:C8"/>
    <x:mergeCell ref="D5:F5"/>
    <x:mergeCell ref="D6:F8"/>
    <x:mergeCell ref="G5:I5"/>
    <x:mergeCell ref="G6:I8"/>
    <x:mergeCell ref="J5:L5"/>
    <x:mergeCell ref="J6:L8"/>
    <x:mergeCell ref="M5:O5"/>
    <x:mergeCell ref="M6:O8"/>
    <x:mergeCell ref="P5:R5"/>
    <x:mergeCell ref="P6:R8"/>
    <x:mergeCell ref="A49:R49"/>
    <x:mergeCell ref="A50:R52"/>
    <x:mergeCell ref="A54:H54"/>
    <x:mergeCell ref="J54:R54"/>
    <x:mergeCell ref="J55:R59"/>
    <x:mergeCell ref="J61:R61"/>
    <x:mergeCell ref="J62:R63"/>
  </x:mergeCells>
  <x:pageMargins left="0.7" right="0.7" top="0.75" bottom="0.75" header="0.3" footer="0.3"/>
  <x:drawing xmlns:r="http://schemas.openxmlformats.org/officeDocument/2006/relationships" r:id="R2daa42b3058d4c81"/>
</x:worksheet>
</file>

<file path=xl/worksheets/sheet2.xml><?xml version="1.0" encoding="utf-8"?>
<x:worksheet xmlns:x="http://schemas.openxmlformats.org/spreadsheetml/2006/main">
  <x:sheetPr>
    <x:tabColor rgb="FF4472C4"/>
  </x:sheetPr>
  <x:sheetViews>
    <x:sheetView showGridLines="0" workbookViewId="0">
      <x:pane ySplit="1" topLeftCell="A2" activePane="bottomLeft" state="frozen"/>
    </x:sheetView>
  </x:sheetViews>
  <x:sheetFormatPr defaultRowHeight="15"/>
  <x:cols>
    <x:col min="1" max="1" width="48" hidden="0" customWidth="1"/>
    <x:col min="2" max="2" width="16" hidden="0" customWidth="1"/>
    <x:col min="3" max="3" width="12" hidden="0" customWidth="1"/>
    <x:col min="4" max="4" width="16" hidden="0" customWidth="1"/>
    <x:col min="5" max="5" width="12" hidden="0" customWidth="1"/>
  </x:cols>
  <x:sheetData>
    <x:row r="1">
      <x:c r="A1" s="26" t="str">
        <x:v>Bảng đếm khảo sát LAB</x:v>
      </x:c>
      <x:c r="B1" s="26"/>
      <x:c r="C1" s="26"/>
      <x:c r="D1" s="26"/>
      <x:c r="E1" s="26"/>
      <x:c r="F1" s="1"/>
      <x:c r="G1" s="1"/>
      <x:c r="H1" s="1"/>
      <x:c r="I1" s="1"/>
      <x:c r="J1" s="1"/>
      <x:c r="K1" s="1"/>
      <x:c r="L1" s="1"/>
      <x:c r="M1" s="1"/>
      <x:c r="N1" s="1"/>
      <x:c r="O1" s="1"/>
      <x:c r="P1" s="1"/>
      <x:c r="Q1" s="1"/>
      <x:c r="R1" s="1"/>
      <x:c r="S1" s="1"/>
      <x:c r="T1" s="1"/>
      <x:c r="U1" s="1"/>
      <x:c r="V1" s="1"/>
      <x:c r="W1" s="1"/>
      <x:c r="X1" s="1"/>
      <x:c r="Y1" s="1"/>
      <x:c r="Z1" s="1"/>
    </x:row>
    <x:row r="2">
      <x:c r="A2" s="1"/>
      <x:c r="B2" s="1"/>
      <x:c r="C2" s="1"/>
      <x:c r="D2" s="1"/>
      <x:c r="E2" s="1"/>
      <x:c r="F2" s="1"/>
      <x:c r="G2" s="1"/>
      <x:c r="H2" s="1"/>
      <x:c r="I2" s="1"/>
      <x:c r="J2" s="1"/>
      <x:c r="K2" s="1"/>
      <x:c r="L2" s="1"/>
      <x:c r="M2" s="1"/>
      <x:c r="N2" s="1"/>
      <x:c r="O2" s="1"/>
      <x:c r="P2" s="1"/>
      <x:c r="Q2" s="1"/>
      <x:c r="R2" s="1"/>
      <x:c r="S2" s="1"/>
      <x:c r="T2" s="1"/>
      <x:c r="U2" s="1"/>
      <x:c r="V2" s="1"/>
      <x:c r="W2" s="1"/>
      <x:c r="X2" s="1"/>
      <x:c r="Y2" s="1"/>
      <x:c r="Z2" s="1"/>
    </x:row>
    <x:row r="3">
      <x:c r="A3" s="3" t="str">
        <x:v>Phạm vi</x:v>
      </x:c>
      <x:c r="B3" s="3" t="str">
        <x:v>Số lượng</x:v>
      </x:c>
      <x:c r="C3" s="1"/>
      <x:c r="D3" s="1"/>
      <x:c r="E3" s="1"/>
      <x:c r="F3" s="1"/>
      <x:c r="G3" s="1"/>
      <x:c r="H3" s="1"/>
      <x:c r="I3" s="1"/>
      <x:c r="J3" s="1"/>
      <x:c r="K3" s="1"/>
      <x:c r="L3" s="1"/>
      <x:c r="M3" s="1"/>
      <x:c r="N3" s="1"/>
      <x:c r="O3" s="1"/>
      <x:c r="P3" s="1"/>
      <x:c r="Q3" s="1"/>
      <x:c r="R3" s="1"/>
      <x:c r="S3" s="1"/>
      <x:c r="T3" s="1"/>
      <x:c r="U3" s="1"/>
      <x:c r="V3" s="1"/>
      <x:c r="W3" s="1"/>
      <x:c r="X3" s="1"/>
      <x:c r="Y3" s="1"/>
      <x:c r="Z3" s="1"/>
    </x:row>
    <x:row r="4">
      <x:c r="A4" s="16" t="str">
        <x:v>Snapshot ban đầu</x:v>
      </x:c>
      <x:c r="B4" s="16" t="n">
        <x:v>22</x:v>
      </x:c>
      <x:c r="C4" s="1"/>
      <x:c r="D4" s="1"/>
      <x:c r="E4" s="1"/>
      <x:c r="F4" s="1"/>
      <x:c r="G4" s="1"/>
      <x:c r="H4" s="1"/>
      <x:c r="I4" s="1"/>
      <x:c r="J4" s="1"/>
      <x:c r="K4" s="1"/>
      <x:c r="L4" s="1"/>
      <x:c r="M4" s="1"/>
      <x:c r="N4" s="1"/>
      <x:c r="O4" s="1"/>
      <x:c r="P4" s="1"/>
      <x:c r="Q4" s="1"/>
      <x:c r="R4" s="1"/>
      <x:c r="S4" s="1"/>
      <x:c r="T4" s="1"/>
      <x:c r="U4" s="1"/>
      <x:c r="V4" s="1"/>
      <x:c r="W4" s="1"/>
      <x:c r="X4" s="1"/>
      <x:c r="Y4" s="1"/>
      <x:c r="Z4" s="1"/>
    </x:row>
    <x:row r="5">
      <x:c r="A5" s="17" t="str">
        <x:v>Loại khỏi snapshot</x:v>
      </x:c>
      <x:c r="B5" s="17" t="n">
        <x:v>2</x:v>
      </x:c>
      <x:c r="C5" s="1"/>
      <x:c r="D5" s="1"/>
      <x:c r="E5" s="1"/>
      <x:c r="F5" s="1"/>
      <x:c r="G5" s="1"/>
      <x:c r="H5" s="1"/>
      <x:c r="I5" s="1"/>
      <x:c r="J5" s="1"/>
      <x:c r="K5" s="1"/>
      <x:c r="L5" s="1"/>
      <x:c r="M5" s="1"/>
      <x:c r="N5" s="1"/>
      <x:c r="O5" s="1"/>
      <x:c r="P5" s="1"/>
      <x:c r="Q5" s="1"/>
      <x:c r="R5" s="1"/>
      <x:c r="S5" s="1"/>
      <x:c r="T5" s="1"/>
      <x:c r="U5" s="1"/>
      <x:c r="V5" s="1"/>
      <x:c r="W5" s="1"/>
      <x:c r="X5" s="1"/>
      <x:c r="Y5" s="1"/>
      <x:c r="Z5" s="1"/>
    </x:row>
    <x:row r="6">
      <x:c r="A6" s="17" t="str">
        <x:v>Hợp lệ trong snapshot</x:v>
      </x:c>
      <x:c r="B6" s="17" t="n">
        <x:v>20</x:v>
      </x:c>
      <x:c r="C6" s="1"/>
      <x:c r="D6" s="1"/>
      <x:c r="E6" s="1"/>
      <x:c r="F6" s="1"/>
      <x:c r="G6" s="1"/>
      <x:c r="H6" s="1"/>
      <x:c r="I6" s="1"/>
      <x:c r="J6" s="1"/>
      <x:c r="K6" s="1"/>
      <x:c r="L6" s="1"/>
      <x:c r="M6" s="1"/>
      <x:c r="N6" s="1"/>
      <x:c r="O6" s="1"/>
      <x:c r="P6" s="1"/>
      <x:c r="Q6" s="1"/>
      <x:c r="R6" s="1"/>
      <x:c r="S6" s="1"/>
      <x:c r="T6" s="1"/>
      <x:c r="U6" s="1"/>
      <x:c r="V6" s="1"/>
      <x:c r="W6" s="1"/>
      <x:c r="X6" s="1"/>
      <x:c r="Y6" s="1"/>
      <x:c r="Z6" s="1"/>
    </x:row>
    <x:row r="7">
      <x:c r="A7" s="18" t="str">
        <x:v>Hợp lệ mới nhất</x:v>
      </x:c>
      <x:c r="B7" s="18" t="n">
        <x:v>23</x:v>
      </x:c>
      <x:c r="C7" s="1"/>
      <x:c r="D7" s="1"/>
      <x:c r="E7" s="1"/>
      <x:c r="F7" s="1"/>
      <x:c r="G7" s="1"/>
      <x:c r="H7" s="1"/>
      <x:c r="I7" s="1"/>
      <x:c r="J7" s="1"/>
      <x:c r="K7" s="1"/>
      <x:c r="L7" s="1"/>
      <x:c r="M7" s="1"/>
      <x:c r="N7" s="1"/>
      <x:c r="O7" s="1"/>
      <x:c r="P7" s="1"/>
      <x:c r="Q7" s="1"/>
      <x:c r="R7" s="1"/>
      <x:c r="S7" s="1"/>
      <x:c r="T7" s="1"/>
      <x:c r="U7" s="1"/>
      <x:c r="V7" s="1"/>
      <x:c r="W7" s="1"/>
      <x:c r="X7" s="1"/>
      <x:c r="Y7" s="1"/>
      <x:c r="Z7" s="1"/>
    </x:row>
    <x:row r="8">
      <x:c r="A8" s="1"/>
      <x:c r="B8" s="1"/>
      <x:c r="C8" s="1"/>
      <x:c r="D8" s="1"/>
      <x:c r="E8" s="1"/>
      <x:c r="F8" s="1"/>
      <x:c r="G8" s="1"/>
      <x:c r="H8" s="1"/>
      <x:c r="I8" s="1"/>
      <x:c r="J8" s="1"/>
      <x:c r="K8" s="1"/>
      <x:c r="L8" s="1"/>
      <x:c r="M8" s="1"/>
      <x:c r="N8" s="1"/>
      <x:c r="O8" s="1"/>
      <x:c r="P8" s="1"/>
      <x:c r="Q8" s="1"/>
      <x:c r="R8" s="1"/>
      <x:c r="S8" s="1"/>
      <x:c r="T8" s="1"/>
      <x:c r="U8" s="1"/>
      <x:c r="V8" s="1"/>
      <x:c r="W8" s="1"/>
      <x:c r="X8" s="1"/>
      <x:c r="Y8" s="1"/>
      <x:c r="Z8" s="1"/>
    </x:row>
    <x:row r="9">
      <x:c r="A9" s="34" t="str">
        <x:v>Vai trò</x:v>
      </x:c>
      <x:c r="B9" s="34" t="str">
        <x:v>Snapshot n=20</x:v>
      </x:c>
      <x:c r="C9" s="34" t="str">
        <x:v>%</x:v>
      </x:c>
      <x:c r="D9" s="34" t="str">
        <x:v>Mới nhất n=23</x:v>
      </x:c>
      <x:c r="E9" s="34" t="str">
        <x:v>%</x:v>
      </x:c>
      <x:c r="F9" s="1"/>
      <x:c r="G9" s="1"/>
      <x:c r="H9" s="1"/>
      <x:c r="I9" s="1"/>
      <x:c r="J9" s="1"/>
      <x:c r="K9" s="1"/>
      <x:c r="L9" s="1"/>
      <x:c r="M9" s="1"/>
      <x:c r="N9" s="1"/>
      <x:c r="O9" s="1"/>
      <x:c r="P9" s="1"/>
      <x:c r="Q9" s="1"/>
      <x:c r="R9" s="1"/>
      <x:c r="S9" s="1"/>
      <x:c r="T9" s="1"/>
      <x:c r="U9" s="1"/>
      <x:c r="V9" s="1"/>
      <x:c r="W9" s="1"/>
      <x:c r="X9" s="1"/>
      <x:c r="Y9" s="1"/>
      <x:c r="Z9" s="1"/>
    </x:row>
    <x:row r="10">
      <x:c r="A10" s="16" t="str">
        <x:v>Thành viên nhận task</x:v>
      </x:c>
      <x:c r="B10" s="16" t="n">
        <x:f>COUNTIFS('Dữ liệu ẩn danh'!$B$2:$B$24,"Có",'Dữ liệu ẩn danh'!$C$2:$C$24,A10)</x:f>
        <x:v>12</x:v>
      </x:c>
      <x:c r="C10" s="35" t="n">
        <x:f>B10/20</x:f>
        <x:v>0.6</x:v>
      </x:c>
      <x:c r="D10" s="16" t="n">
        <x:f>COUNTIF('Dữ liệu ẩn danh'!$C$2:$C$24,A10)</x:f>
        <x:v>13</x:v>
      </x:c>
      <x:c r="E10" s="35" t="n">
        <x:f>D10/23</x:f>
        <x:v>0.5652173913043478</x:v>
      </x:c>
      <x:c r="F10" s="1"/>
      <x:c r="G10" s="1"/>
      <x:c r="H10" s="1"/>
      <x:c r="I10" s="1"/>
      <x:c r="J10" s="1"/>
      <x:c r="K10" s="1"/>
      <x:c r="L10" s="1"/>
      <x:c r="M10" s="1"/>
      <x:c r="N10" s="1"/>
      <x:c r="O10" s="1"/>
      <x:c r="P10" s="1"/>
      <x:c r="Q10" s="1"/>
      <x:c r="R10" s="1"/>
      <x:c r="S10" s="1"/>
      <x:c r="T10" s="1"/>
      <x:c r="U10" s="1"/>
      <x:c r="V10" s="1"/>
      <x:c r="W10" s="1"/>
      <x:c r="X10" s="1"/>
      <x:c r="Y10" s="1"/>
      <x:c r="Z10" s="1"/>
    </x:row>
    <x:row r="11">
      <x:c r="A11" s="17" t="str">
        <x:v>Đội trưởng/người chia việc</x:v>
      </x:c>
      <x:c r="B11" s="17" t="n">
        <x:f>COUNTIFS('Dữ liệu ẩn danh'!$B$2:$B$24,"Có",'Dữ liệu ẩn danh'!$C$2:$C$24,A11)</x:f>
        <x:v>6</x:v>
      </x:c>
      <x:c r="C11" s="36" t="n">
        <x:f>B11/20</x:f>
        <x:v>0.3</x:v>
      </x:c>
      <x:c r="D11" s="17" t="n">
        <x:f>COUNTIF('Dữ liệu ẩn danh'!$C$2:$C$24,A11)</x:f>
        <x:v>8</x:v>
      </x:c>
      <x:c r="E11" s="36" t="n">
        <x:f>D11/23</x:f>
        <x:v>0.34782608695652173</x:v>
      </x:c>
      <x:c r="F11" s="1"/>
      <x:c r="G11" s="1"/>
      <x:c r="H11" s="1"/>
      <x:c r="I11" s="1"/>
      <x:c r="J11" s="1"/>
      <x:c r="K11" s="1"/>
      <x:c r="L11" s="1"/>
      <x:c r="M11" s="1"/>
      <x:c r="N11" s="1"/>
      <x:c r="O11" s="1"/>
      <x:c r="P11" s="1"/>
      <x:c r="Q11" s="1"/>
      <x:c r="R11" s="1"/>
      <x:c r="S11" s="1"/>
      <x:c r="T11" s="1"/>
      <x:c r="U11" s="1"/>
      <x:c r="V11" s="1"/>
      <x:c r="W11" s="1"/>
      <x:c r="X11" s="1"/>
      <x:c r="Y11" s="1"/>
      <x:c r="Z11" s="1"/>
    </x:row>
    <x:row r="12">
      <x:c r="A12" s="18" t="str">
        <x:v>Cùng cả nhóm quyết định</x:v>
      </x:c>
      <x:c r="B12" s="18" t="n">
        <x:f>COUNTIFS('Dữ liệu ẩn danh'!$B$2:$B$24,"Có",'Dữ liệu ẩn danh'!$C$2:$C$24,A12)</x:f>
        <x:v>2</x:v>
      </x:c>
      <x:c r="C12" s="37" t="n">
        <x:f>B12/20</x:f>
        <x:v>0.1</x:v>
      </x:c>
      <x:c r="D12" s="18" t="n">
        <x:f>COUNTIF('Dữ liệu ẩn danh'!$C$2:$C$24,A12)</x:f>
        <x:v>2</x:v>
      </x:c>
      <x:c r="E12" s="37" t="n">
        <x:f>D12/23</x:f>
        <x:v>0.08695652173913043</x:v>
      </x:c>
      <x:c r="F12" s="1"/>
      <x:c r="G12" s="1"/>
      <x:c r="H12" s="1"/>
      <x:c r="I12" s="1"/>
      <x:c r="J12" s="1"/>
      <x:c r="K12" s="1"/>
      <x:c r="L12" s="1"/>
      <x:c r="M12" s="1"/>
      <x:c r="N12" s="1"/>
      <x:c r="O12" s="1"/>
      <x:c r="P12" s="1"/>
      <x:c r="Q12" s="1"/>
      <x:c r="R12" s="1"/>
      <x:c r="S12" s="1"/>
      <x:c r="T12" s="1"/>
      <x:c r="U12" s="1"/>
      <x:c r="V12" s="1"/>
      <x:c r="W12" s="1"/>
      <x:c r="X12" s="1"/>
      <x:c r="Y12" s="1"/>
      <x:c r="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row>
    <x:row r="15">
      <x:c r="A15" s="34" t="str">
        <x:v>Thời gian để thống nhất đầu việc</x:v>
      </x:c>
      <x:c r="B15" s="34" t="str">
        <x:v>Snapshot n=20</x:v>
      </x:c>
      <x:c r="C15" s="34" t="str">
        <x:v>%</x:v>
      </x:c>
      <x:c r="D15" s="34" t="str">
        <x:v>Mới nhất n=23</x:v>
      </x:c>
      <x:c r="E15" s="34" t="str">
        <x:v>%</x:v>
      </x:c>
      <x:c r="F15" s="1"/>
      <x:c r="G15" s="1"/>
      <x:c r="H15" s="1"/>
      <x:c r="I15" s="1"/>
      <x:c r="J15" s="1"/>
      <x:c r="K15" s="1"/>
      <x:c r="L15" s="1"/>
      <x:c r="M15" s="1"/>
      <x:c r="N15" s="1"/>
      <x:c r="O15" s="1"/>
      <x:c r="P15" s="1"/>
      <x:c r="Q15" s="1"/>
      <x:c r="R15" s="1"/>
      <x:c r="S15" s="1"/>
      <x:c r="T15" s="1"/>
      <x:c r="U15" s="1"/>
      <x:c r="V15" s="1"/>
      <x:c r="W15" s="1"/>
      <x:c r="X15" s="1"/>
      <x:c r="Y15" s="1"/>
      <x:c r="Z15" s="1"/>
    </x:row>
    <x:row r="16">
      <x:c r="A16" s="16" t="str">
        <x:v>Dưới 5 phút</x:v>
      </x:c>
      <x:c r="B16" s="16" t="n">
        <x:f>COUNTIFS('Dữ liệu ẩn danh'!$B$2:$B$24,"Có",'Dữ liệu ẩn danh'!$D$2:$D$24,A16)</x:f>
        <x:v>1</x:v>
      </x:c>
      <x:c r="C16" s="35" t="n">
        <x:f>B16/20</x:f>
        <x:v>0.05</x:v>
      </x:c>
      <x:c r="D16" s="16" t="n">
        <x:f>COUNTIF('Dữ liệu ẩn danh'!$D$2:$D$24,A16)</x:f>
        <x:v>1</x:v>
      </x:c>
      <x:c r="E16" s="35" t="n">
        <x:f>D16/23</x:f>
        <x:v>0.043478260869565216</x:v>
      </x:c>
      <x:c r="F16" s="1"/>
      <x:c r="G16" s="1"/>
      <x:c r="H16" s="1"/>
      <x:c r="I16" s="1"/>
      <x:c r="J16" s="1"/>
      <x:c r="K16" s="1"/>
      <x:c r="L16" s="1"/>
      <x:c r="M16" s="1"/>
      <x:c r="N16" s="1"/>
      <x:c r="O16" s="1"/>
      <x:c r="P16" s="1"/>
      <x:c r="Q16" s="1"/>
      <x:c r="R16" s="1"/>
      <x:c r="S16" s="1"/>
      <x:c r="T16" s="1"/>
      <x:c r="U16" s="1"/>
      <x:c r="V16" s="1"/>
      <x:c r="W16" s="1"/>
      <x:c r="X16" s="1"/>
      <x:c r="Y16" s="1"/>
      <x:c r="Z16" s="1"/>
    </x:row>
    <x:row r="17">
      <x:c r="A17" s="17" t="str">
        <x:v>5 đến 15 phút</x:v>
      </x:c>
      <x:c r="B17" s="17" t="n">
        <x:f>COUNTIFS('Dữ liệu ẩn danh'!$B$2:$B$24,"Có",'Dữ liệu ẩn danh'!$D$2:$D$24,A17)</x:f>
        <x:v>8</x:v>
      </x:c>
      <x:c r="C17" s="36" t="n">
        <x:f>B17/20</x:f>
        <x:v>0.4</x:v>
      </x:c>
      <x:c r="D17" s="17" t="n">
        <x:f>COUNTIF('Dữ liệu ẩn danh'!$D$2:$D$24,A17)</x:f>
        <x:v>11</x:v>
      </x:c>
      <x:c r="E17" s="36" t="n">
        <x:f>D17/23</x:f>
        <x:v>0.4782608695652174</x:v>
      </x:c>
      <x:c r="F17" s="1"/>
      <x:c r="G17" s="1"/>
      <x:c r="H17" s="1"/>
      <x:c r="I17" s="1"/>
      <x:c r="J17" s="1"/>
      <x:c r="K17" s="1"/>
      <x:c r="L17" s="1"/>
      <x:c r="M17" s="1"/>
      <x:c r="N17" s="1"/>
      <x:c r="O17" s="1"/>
      <x:c r="P17" s="1"/>
      <x:c r="Q17" s="1"/>
      <x:c r="R17" s="1"/>
      <x:c r="S17" s="1"/>
      <x:c r="T17" s="1"/>
      <x:c r="U17" s="1"/>
      <x:c r="V17" s="1"/>
      <x:c r="W17" s="1"/>
      <x:c r="X17" s="1"/>
      <x:c r="Y17" s="1"/>
      <x:c r="Z17" s="1"/>
    </x:row>
    <x:row r="18">
      <x:c r="A18" s="17" t="str">
        <x:v>15 đến 30 phút</x:v>
      </x:c>
      <x:c r="B18" s="17" t="n">
        <x:f>COUNTIFS('Dữ liệu ẩn danh'!$B$2:$B$24,"Có",'Dữ liệu ẩn danh'!$D$2:$D$24,A18)</x:f>
        <x:v>7</x:v>
      </x:c>
      <x:c r="C18" s="36" t="n">
        <x:f>B18/20</x:f>
        <x:v>0.35</x:v>
      </x:c>
      <x:c r="D18" s="17" t="n">
        <x:f>COUNTIF('Dữ liệu ẩn danh'!$D$2:$D$24,A18)</x:f>
        <x:v>7</x:v>
      </x:c>
      <x:c r="E18" s="36" t="n">
        <x:f>D18/23</x:f>
        <x:v>0.30434782608695654</x:v>
      </x:c>
      <x:c r="F18" s="1"/>
      <x:c r="G18" s="1"/>
      <x:c r="H18" s="1"/>
      <x:c r="I18" s="1"/>
      <x:c r="J18" s="1"/>
      <x:c r="K18" s="1"/>
      <x:c r="L18" s="1"/>
      <x:c r="M18" s="1"/>
      <x:c r="N18" s="1"/>
      <x:c r="O18" s="1"/>
      <x:c r="P18" s="1"/>
      <x:c r="Q18" s="1"/>
      <x:c r="R18" s="1"/>
      <x:c r="S18" s="1"/>
      <x:c r="T18" s="1"/>
      <x:c r="U18" s="1"/>
      <x:c r="V18" s="1"/>
      <x:c r="W18" s="1"/>
      <x:c r="X18" s="1"/>
      <x:c r="Y18" s="1"/>
      <x:c r="Z18" s="1"/>
    </x:row>
    <x:row r="19">
      <x:c r="A19" s="17" t="str">
        <x:v>Trên 30 phút</x:v>
      </x:c>
      <x:c r="B19" s="17" t="n">
        <x:f>COUNTIFS('Dữ liệu ẩn danh'!$B$2:$B$24,"Có",'Dữ liệu ẩn danh'!$D$2:$D$24,A19)</x:f>
        <x:v>2</x:v>
      </x:c>
      <x:c r="C19" s="36" t="n">
        <x:f>B19/20</x:f>
        <x:v>0.1</x:v>
      </x:c>
      <x:c r="D19" s="17" t="n">
        <x:f>COUNTIF('Dữ liệu ẩn danh'!$D$2:$D$24,A19)</x:f>
        <x:v>2</x:v>
      </x:c>
      <x:c r="E19" s="36" t="n">
        <x:f>D19/23</x:f>
        <x:v>0.08695652173913043</x:v>
      </x:c>
      <x:c r="F19" s="1"/>
      <x:c r="G19" s="1"/>
      <x:c r="H19" s="1"/>
      <x:c r="I19" s="1"/>
      <x:c r="J19" s="1"/>
      <x:c r="K19" s="1"/>
      <x:c r="L19" s="1"/>
      <x:c r="M19" s="1"/>
      <x:c r="N19" s="1"/>
      <x:c r="O19" s="1"/>
      <x:c r="P19" s="1"/>
      <x:c r="Q19" s="1"/>
      <x:c r="R19" s="1"/>
      <x:c r="S19" s="1"/>
      <x:c r="T19" s="1"/>
      <x:c r="U19" s="1"/>
      <x:c r="V19" s="1"/>
      <x:c r="W19" s="1"/>
      <x:c r="X19" s="1"/>
      <x:c r="Y19" s="1"/>
      <x:c r="Z19" s="1"/>
    </x:row>
    <x:row r="20">
      <x:c r="A20" s="18" t="str">
        <x:v>Cuối cùng vẫn chưa rõ</x:v>
      </x:c>
      <x:c r="B20" s="18" t="n">
        <x:f>COUNTIFS('Dữ liệu ẩn danh'!$B$2:$B$24,"Có",'Dữ liệu ẩn danh'!$D$2:$D$24,A20)</x:f>
        <x:v>2</x:v>
      </x:c>
      <x:c r="C20" s="37" t="n">
        <x:f>B20/20</x:f>
        <x:v>0.1</x:v>
      </x:c>
      <x:c r="D20" s="18" t="n">
        <x:f>COUNTIF('Dữ liệu ẩn danh'!$D$2:$D$24,A20)</x:f>
        <x:v>2</x:v>
      </x:c>
      <x:c r="E20" s="37" t="n">
        <x:f>D20/23</x:f>
        <x:v>0.08695652173913043</x:v>
      </x:c>
      <x:c r="F20" s="1"/>
      <x:c r="G20" s="1"/>
      <x:c r="H20" s="1"/>
      <x:c r="I20" s="1"/>
      <x:c r="J20" s="1"/>
      <x:c r="K20" s="1"/>
      <x:c r="L20" s="1"/>
      <x:c r="M20" s="1"/>
      <x:c r="N20" s="1"/>
      <x:c r="O20" s="1"/>
      <x:c r="P20" s="1"/>
      <x:c r="Q20" s="1"/>
      <x:c r="R20" s="1"/>
      <x:c r="S20" s="1"/>
      <x:c r="T20" s="1"/>
      <x:c r="U20" s="1"/>
      <x:c r="V20" s="1"/>
      <x:c r="W20" s="1"/>
      <x:c r="X20" s="1"/>
      <x:c r="Y20" s="1"/>
      <x:c r="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row>
    <x:row r="23">
      <x:c r="A23" s="34" t="str">
        <x:v>Nguồn xác định phần cần làm/nộp</x:v>
      </x:c>
      <x:c r="B23" s="34" t="str">
        <x:v>Snapshot n=20</x:v>
      </x:c>
      <x:c r="C23" s="34" t="str">
        <x:v>%</x:v>
      </x:c>
      <x:c r="D23" s="34" t="str">
        <x:v>Mới nhất n=23</x:v>
      </x:c>
      <x:c r="E23" s="34" t="str">
        <x:v>%</x:v>
      </x:c>
      <x:c r="F23" s="1"/>
      <x:c r="G23" s="1"/>
      <x:c r="H23" s="1"/>
      <x:c r="I23" s="1"/>
      <x:c r="J23" s="1"/>
      <x:c r="K23" s="1"/>
      <x:c r="L23" s="1"/>
      <x:c r="M23" s="1"/>
      <x:c r="N23" s="1"/>
      <x:c r="O23" s="1"/>
      <x:c r="P23" s="1"/>
      <x:c r="Q23" s="1"/>
      <x:c r="R23" s="1"/>
      <x:c r="S23" s="1"/>
      <x:c r="T23" s="1"/>
      <x:c r="U23" s="1"/>
      <x:c r="V23" s="1"/>
      <x:c r="W23" s="1"/>
      <x:c r="X23" s="1"/>
      <x:c r="Y23" s="1"/>
      <x:c r="Z23" s="1"/>
    </x:row>
    <x:row r="24">
      <x:c r="A24" s="16" t="str">
        <x:v>README/đề bài/repository</x:v>
      </x:c>
      <x:c r="B24" s="16" t="n">
        <x:f>SUMIFS('Ma trận nhị phân'!$C$2:$C$24,'Ma trận nhị phân'!$B$2:$B$24,"Có")</x:f>
        <x:v>16</x:v>
      </x:c>
      <x:c r="C24" s="35" t="n">
        <x:f>B24/20</x:f>
        <x:v>0.8</x:v>
      </x:c>
      <x:c r="D24" s="16" t="n">
        <x:f>SUM('Ma trận nhị phân'!$C$2:$C$24)</x:f>
        <x:v>19</x:v>
      </x:c>
      <x:c r="E24" s="35" t="n">
        <x:f>D24/23</x:f>
        <x:v>0.8260869565217391</x:v>
      </x:c>
      <x:c r="F24" s="1"/>
      <x:c r="G24" s="1"/>
      <x:c r="H24" s="1"/>
      <x:c r="I24" s="1"/>
      <x:c r="J24" s="1"/>
      <x:c r="K24" s="1"/>
      <x:c r="L24" s="1"/>
      <x:c r="M24" s="1"/>
      <x:c r="N24" s="1"/>
      <x:c r="O24" s="1"/>
      <x:c r="P24" s="1"/>
      <x:c r="Q24" s="1"/>
      <x:c r="R24" s="1"/>
      <x:c r="S24" s="1"/>
      <x:c r="T24" s="1"/>
      <x:c r="U24" s="1"/>
      <x:c r="V24" s="1"/>
      <x:c r="W24" s="1"/>
      <x:c r="X24" s="1"/>
      <x:c r="Y24" s="1"/>
      <x:c r="Z24" s="1"/>
    </x:row>
    <x:row r="25">
      <x:c r="A25" s="17" t="str">
        <x:v>Nội dung bài LAB/codelab trên VLearn</x:v>
      </x:c>
      <x:c r="B25" s="17" t="n">
        <x:f>SUMIFS('Ma trận nhị phân'!$D$2:$D$24,'Ma trận nhị phân'!$B$2:$B$24,"Có")</x:f>
        <x:v>10</x:v>
      </x:c>
      <x:c r="C25" s="36" t="n">
        <x:f>B25/20</x:f>
        <x:v>0.5</x:v>
      </x:c>
      <x:c r="D25" s="17" t="n">
        <x:f>SUM('Ma trận nhị phân'!$D$2:$D$24)</x:f>
        <x:v>13</x:v>
      </x:c>
      <x:c r="E25" s="36" t="n">
        <x:f>D25/23</x:f>
        <x:v>0.5652173913043478</x:v>
      </x:c>
      <x:c r="F25" s="1"/>
      <x:c r="G25" s="1"/>
      <x:c r="H25" s="1"/>
      <x:c r="I25" s="1"/>
      <x:c r="J25" s="1"/>
      <x:c r="K25" s="1"/>
      <x:c r="L25" s="1"/>
      <x:c r="M25" s="1"/>
      <x:c r="N25" s="1"/>
      <x:c r="O25" s="1"/>
      <x:c r="P25" s="1"/>
      <x:c r="Q25" s="1"/>
      <x:c r="R25" s="1"/>
      <x:c r="S25" s="1"/>
      <x:c r="T25" s="1"/>
      <x:c r="U25" s="1"/>
      <x:c r="V25" s="1"/>
      <x:c r="W25" s="1"/>
      <x:c r="X25" s="1"/>
      <x:c r="Y25" s="1"/>
      <x:c r="Z25" s="1"/>
    </x:row>
    <x:row r="26">
      <x:c r="A26" s="17" t="str">
        <x:v>Tin nhắn Discord/Zalo/Messenger</x:v>
      </x:c>
      <x:c r="B26" s="17" t="n">
        <x:f>SUMIFS('Ma trận nhị phân'!$E$2:$E$24,'Ma trận nhị phân'!$B$2:$B$24,"Có")</x:f>
        <x:v>5</x:v>
      </x:c>
      <x:c r="C26" s="36" t="n">
        <x:f>B26/20</x:f>
        <x:v>0.25</x:v>
      </x:c>
      <x:c r="D26" s="17" t="n">
        <x:f>SUM('Ma trận nhị phân'!$E$2:$E$24)</x:f>
        <x:v>6</x:v>
      </x:c>
      <x:c r="E26" s="36" t="n">
        <x:f>D26/23</x:f>
        <x:v>0.2608695652173913</x:v>
      </x:c>
      <x:c r="F26" s="1"/>
      <x:c r="G26" s="1"/>
      <x:c r="H26" s="1"/>
      <x:c r="I26" s="1"/>
      <x:c r="J26" s="1"/>
      <x:c r="K26" s="1"/>
      <x:c r="L26" s="1"/>
      <x:c r="M26" s="1"/>
      <x:c r="N26" s="1"/>
      <x:c r="O26" s="1"/>
      <x:c r="P26" s="1"/>
      <x:c r="Q26" s="1"/>
      <x:c r="R26" s="1"/>
      <x:c r="S26" s="1"/>
      <x:c r="T26" s="1"/>
      <x:c r="U26" s="1"/>
      <x:c r="V26" s="1"/>
      <x:c r="W26" s="1"/>
      <x:c r="X26" s="1"/>
      <x:c r="Y26" s="1"/>
      <x:c r="Z26" s="1"/>
    </x:row>
    <x:row r="27">
      <x:c r="A27" s="17" t="str">
        <x:v>Google Docs/Sheet/Notion do nhóm tự tạo</x:v>
      </x:c>
      <x:c r="B27" s="17" t="n">
        <x:f>SUMIFS('Ma trận nhị phân'!$F$2:$F$24,'Ma trận nhị phân'!$B$2:$B$24,"Có")</x:f>
        <x:v>5</x:v>
      </x:c>
      <x:c r="C27" s="36" t="n">
        <x:f>B27/20</x:f>
        <x:v>0.25</x:v>
      </x:c>
      <x:c r="D27" s="17" t="n">
        <x:f>SUM('Ma trận nhị phân'!$F$2:$F$24)</x:f>
        <x:v>5</x:v>
      </x:c>
      <x:c r="E27" s="36" t="n">
        <x:f>D27/23</x:f>
        <x:v>0.21739130434782608</x:v>
      </x:c>
      <x:c r="F27" s="1"/>
      <x:c r="G27" s="1"/>
      <x:c r="H27" s="1"/>
      <x:c r="I27" s="1"/>
      <x:c r="J27" s="1"/>
      <x:c r="K27" s="1"/>
      <x:c r="L27" s="1"/>
      <x:c r="M27" s="1"/>
      <x:c r="N27" s="1"/>
      <x:c r="O27" s="1"/>
      <x:c r="P27" s="1"/>
      <x:c r="Q27" s="1"/>
      <x:c r="R27" s="1"/>
      <x:c r="S27" s="1"/>
      <x:c r="T27" s="1"/>
      <x:c r="U27" s="1"/>
      <x:c r="V27" s="1"/>
      <x:c r="W27" s="1"/>
      <x:c r="X27" s="1"/>
      <x:c r="Y27" s="1"/>
      <x:c r="Z27" s="1"/>
    </x:row>
    <x:row r="28">
      <x:c r="A28" s="17" t="str">
        <x:v>Một thành viên tóm tắt lại bằng miệng/chat</x:v>
      </x:c>
      <x:c r="B28" s="17" t="n">
        <x:f>SUMIFS('Ma trận nhị phân'!$G$2:$G$24,'Ma trận nhị phân'!$B$2:$B$24,"Có")</x:f>
        <x:v>4</x:v>
      </x:c>
      <x:c r="C28" s="36" t="n">
        <x:f>B28/20</x:f>
        <x:v>0.2</x:v>
      </x:c>
      <x:c r="D28" s="17" t="n">
        <x:f>SUM('Ma trận nhị phân'!$G$2:$G$24)</x:f>
        <x:v>4</x:v>
      </x:c>
      <x:c r="E28" s="36" t="n">
        <x:f>D28/23</x:f>
        <x:v>0.17391304347826086</x:v>
      </x:c>
      <x:c r="F28" s="1"/>
      <x:c r="G28" s="1"/>
      <x:c r="H28" s="1"/>
      <x:c r="I28" s="1"/>
      <x:c r="J28" s="1"/>
      <x:c r="K28" s="1"/>
      <x:c r="L28" s="1"/>
      <x:c r="M28" s="1"/>
      <x:c r="N28" s="1"/>
      <x:c r="O28" s="1"/>
      <x:c r="P28" s="1"/>
      <x:c r="Q28" s="1"/>
      <x:c r="R28" s="1"/>
      <x:c r="S28" s="1"/>
      <x:c r="T28" s="1"/>
      <x:c r="U28" s="1"/>
      <x:c r="V28" s="1"/>
      <x:c r="W28" s="1"/>
      <x:c r="X28" s="1"/>
      <x:c r="Y28" s="1"/>
      <x:c r="Z28" s="1"/>
    </x:row>
    <x:row r="29">
      <x:c r="A29" s="18" t="str">
        <x:v>Tự nhớ hoặc vừa làm vừa hỏi</x:v>
      </x:c>
      <x:c r="B29" s="18" t="n">
        <x:f>SUMIFS('Ma trận nhị phân'!$H$2:$H$24,'Ma trận nhị phân'!$B$2:$B$24,"Có")</x:f>
        <x:v>2</x:v>
      </x:c>
      <x:c r="C29" s="37" t="n">
        <x:f>B29/20</x:f>
        <x:v>0.1</x:v>
      </x:c>
      <x:c r="D29" s="18" t="n">
        <x:f>SUM('Ma trận nhị phân'!$H$2:$H$24)</x:f>
        <x:v>2</x:v>
      </x:c>
      <x:c r="E29" s="37" t="n">
        <x:f>D29/23</x:f>
        <x:v>0.08695652173913043</x:v>
      </x:c>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34" t="str">
        <x:v>Vấn đề gặp phải</x:v>
      </x:c>
      <x:c r="B32" s="34" t="str">
        <x:v>Snapshot n=20</x:v>
      </x:c>
      <x:c r="C32" s="34" t="str">
        <x:v>%</x:v>
      </x:c>
      <x:c r="D32" s="34" t="str">
        <x:v>Mới nhất n=23</x:v>
      </x:c>
      <x:c r="E32" s="34" t="str">
        <x:v>%</x:v>
      </x:c>
      <x:c r="F32" s="1"/>
      <x:c r="G32" s="1"/>
      <x:c r="H32" s="1"/>
      <x:c r="I32" s="1"/>
      <x:c r="J32" s="1"/>
      <x:c r="K32" s="1"/>
      <x:c r="L32" s="1"/>
      <x:c r="M32" s="1"/>
      <x:c r="N32" s="1"/>
      <x:c r="O32" s="1"/>
      <x:c r="P32" s="1"/>
      <x:c r="Q32" s="1"/>
      <x:c r="R32" s="1"/>
      <x:c r="S32" s="1"/>
      <x:c r="T32" s="1"/>
      <x:c r="U32" s="1"/>
      <x:c r="V32" s="1"/>
      <x:c r="W32" s="1"/>
      <x:c r="X32" s="1"/>
      <x:c r="Y32" s="1"/>
      <x:c r="Z32" s="1"/>
    </x:row>
    <x:row r="33">
      <x:c r="A33" s="16" t="str">
        <x:v>Có phần việc bị bỏ sót</x:v>
      </x:c>
      <x:c r="B33" s="16" t="n">
        <x:f>SUMIFS('Ma trận nhị phân'!$I$2:$I$24,'Ma trận nhị phân'!$B$2:$B$24,"Có")</x:f>
        <x:v>12</x:v>
      </x:c>
      <x:c r="C33" s="35" t="n">
        <x:f>B33/20</x:f>
        <x:v>0.6</x:v>
      </x:c>
      <x:c r="D33" s="16" t="n">
        <x:f>SUM('Ma trận nhị phân'!$I$2:$I$24)</x:f>
        <x:v>13</x:v>
      </x:c>
      <x:c r="E33" s="35" t="n">
        <x:f>D33/23</x:f>
        <x:v>0.5652173913043478</x:v>
      </x:c>
      <x:c r="F33" s="1"/>
      <x:c r="G33" s="1"/>
      <x:c r="H33" s="1"/>
      <x:c r="I33" s="1"/>
      <x:c r="J33" s="1"/>
      <x:c r="K33" s="1"/>
      <x:c r="L33" s="1"/>
      <x:c r="M33" s="1"/>
      <x:c r="N33" s="1"/>
      <x:c r="O33" s="1"/>
      <x:c r="P33" s="1"/>
      <x:c r="Q33" s="1"/>
      <x:c r="R33" s="1"/>
      <x:c r="S33" s="1"/>
      <x:c r="T33" s="1"/>
      <x:c r="U33" s="1"/>
      <x:c r="V33" s="1"/>
      <x:c r="W33" s="1"/>
      <x:c r="X33" s="1"/>
      <x:c r="Y33" s="1"/>
      <x:c r="Z33" s="1"/>
    </x:row>
    <x:row r="34">
      <x:c r="A34" s="17" t="str">
        <x:v>Có người chưa biết làm gì</x:v>
      </x:c>
      <x:c r="B34" s="17" t="n">
        <x:f>SUMIFS('Ma trận nhị phân'!$J$2:$J$24,'Ma trận nhị phân'!$B$2:$B$24,"Có")</x:f>
        <x:v>9</x:v>
      </x:c>
      <x:c r="C34" s="36" t="n">
        <x:f>B34/20</x:f>
        <x:v>0.45</x:v>
      </x:c>
      <x:c r="D34" s="17" t="n">
        <x:f>SUM('Ma trận nhị phân'!$J$2:$J$24)</x:f>
        <x:v>10</x:v>
      </x:c>
      <x:c r="E34" s="36" t="n">
        <x:f>D34/23</x:f>
        <x:v>0.43478260869565216</x:v>
      </x:c>
      <x:c r="F34" s="1"/>
      <x:c r="G34" s="1"/>
      <x:c r="H34" s="1"/>
      <x:c r="I34" s="1"/>
      <x:c r="J34" s="1"/>
      <x:c r="K34" s="1"/>
      <x:c r="L34" s="1"/>
      <x:c r="M34" s="1"/>
      <x:c r="N34" s="1"/>
      <x:c r="O34" s="1"/>
      <x:c r="P34" s="1"/>
      <x:c r="Q34" s="1"/>
      <x:c r="R34" s="1"/>
      <x:c r="S34" s="1"/>
      <x:c r="T34" s="1"/>
      <x:c r="U34" s="1"/>
      <x:c r="V34" s="1"/>
      <x:c r="W34" s="1"/>
      <x:c r="X34" s="1"/>
      <x:c r="Y34" s="1"/>
      <x:c r="Z34" s="1"/>
    </x:row>
    <x:row r="35">
      <x:c r="A35" s="17" t="str">
        <x:v>Hai hoặc nhiều người làm trùng một phần</x:v>
      </x:c>
      <x:c r="B35" s="17" t="n">
        <x:f>SUMIFS('Ma trận nhị phân'!$K$2:$K$24,'Ma trận nhị phân'!$B$2:$B$24,"Có")</x:f>
        <x:v>8</x:v>
      </x:c>
      <x:c r="C35" s="36" t="n">
        <x:f>B35/20</x:f>
        <x:v>0.4</x:v>
      </x:c>
      <x:c r="D35" s="17" t="n">
        <x:f>SUM('Ma trận nhị phân'!$K$2:$K$24)</x:f>
        <x:v>10</x:v>
      </x:c>
      <x:c r="E35" s="36" t="n">
        <x:f>D35/23</x:f>
        <x:v>0.43478260869565216</x:v>
      </x:c>
      <x:c r="F35" s="1"/>
      <x:c r="G35" s="1"/>
      <x:c r="H35" s="1"/>
      <x:c r="I35" s="1"/>
      <x:c r="J35" s="1"/>
      <x:c r="K35" s="1"/>
      <x:c r="L35" s="1"/>
      <x:c r="M35" s="1"/>
      <x:c r="N35" s="1"/>
      <x:c r="O35" s="1"/>
      <x:c r="P35" s="1"/>
      <x:c r="Q35" s="1"/>
      <x:c r="R35" s="1"/>
      <x:c r="S35" s="1"/>
      <x:c r="T35" s="1"/>
      <x:c r="U35" s="1"/>
      <x:c r="V35" s="1"/>
      <x:c r="W35" s="1"/>
      <x:c r="X35" s="1"/>
      <x:c r="Y35" s="1"/>
      <x:c r="Z35" s="1"/>
    </x:row>
    <x:row r="36">
      <x:c r="A36" s="17" t="str">
        <x:v>Khó biết nhóm đã xong đến đâu</x:v>
      </x:c>
      <x:c r="B36" s="17" t="n">
        <x:f>SUMIFS('Ma trận nhị phân'!$L$2:$L$24,'Ma trận nhị phân'!$B$2:$B$24,"Có")</x:f>
        <x:v>7</x:v>
      </x:c>
      <x:c r="C36" s="36" t="n">
        <x:f>B36/20</x:f>
        <x:v>0.35</x:v>
      </x:c>
      <x:c r="D36" s="17" t="n">
        <x:f>SUM('Ma trận nhị phân'!$L$2:$L$24)</x:f>
        <x:v>7</x:v>
      </x:c>
      <x:c r="E36" s="36" t="n">
        <x:f>D36/23</x:f>
        <x:v>0.30434782608695654</x:v>
      </x:c>
      <x:c r="F36" s="1"/>
      <x:c r="G36" s="1"/>
      <x:c r="H36" s="1"/>
      <x:c r="I36" s="1"/>
      <x:c r="J36" s="1"/>
      <x:c r="K36" s="1"/>
      <x:c r="L36" s="1"/>
      <x:c r="M36" s="1"/>
      <x:c r="N36" s="1"/>
      <x:c r="O36" s="1"/>
      <x:c r="P36" s="1"/>
      <x:c r="Q36" s="1"/>
      <x:c r="R36" s="1"/>
      <x:c r="S36" s="1"/>
      <x:c r="T36" s="1"/>
      <x:c r="U36" s="1"/>
      <x:c r="V36" s="1"/>
      <x:c r="W36" s="1"/>
      <x:c r="X36" s="1"/>
      <x:c r="Y36" s="1"/>
      <x:c r="Z36" s="1"/>
    </x:row>
    <x:row r="37">
      <x:c r="A37" s="17" t="str">
        <x:v>Phải chia lại task giữa chừng</x:v>
      </x:c>
      <x:c r="B37" s="17" t="n">
        <x:f>SUMIFS('Ma trận nhị phân'!$M$2:$M$24,'Ma trận nhị phân'!$B$2:$B$24,"Có")</x:f>
        <x:v>6</x:v>
      </x:c>
      <x:c r="C37" s="36" t="n">
        <x:f>B37/20</x:f>
        <x:v>0.3</x:v>
      </x:c>
      <x:c r="D37" s="17" t="n">
        <x:f>SUM('Ma trận nhị phân'!$M$2:$M$24)</x:f>
        <x:v>7</x:v>
      </x:c>
      <x:c r="E37" s="36" t="n">
        <x:f>D37/23</x:f>
        <x:v>0.30434782608695654</x:v>
      </x:c>
      <x:c r="F37" s="1"/>
      <x:c r="G37" s="1"/>
      <x:c r="H37" s="1"/>
      <x:c r="I37" s="1"/>
      <x:c r="J37" s="1"/>
      <x:c r="K37" s="1"/>
      <x:c r="L37" s="1"/>
      <x:c r="M37" s="1"/>
      <x:c r="N37" s="1"/>
      <x:c r="O37" s="1"/>
      <x:c r="P37" s="1"/>
      <x:c r="Q37" s="1"/>
      <x:c r="R37" s="1"/>
      <x:c r="S37" s="1"/>
      <x:c r="T37" s="1"/>
      <x:c r="U37" s="1"/>
      <x:c r="V37" s="1"/>
      <x:c r="W37" s="1"/>
      <x:c r="X37" s="1"/>
      <x:c r="Y37" s="1"/>
      <x:c r="Z37" s="1"/>
    </x:row>
    <x:row r="38">
      <x:c r="A38" s="17" t="str">
        <x:v>Task không phù hợp năng lực</x:v>
      </x:c>
      <x:c r="B38" s="17" t="n">
        <x:f>SUMIFS('Ma trận nhị phân'!$N$2:$N$24,'Ma trận nhị phân'!$B$2:$B$24,"Có")</x:f>
        <x:v>5</x:v>
      </x:c>
      <x:c r="C38" s="36" t="n">
        <x:f>B38/20</x:f>
        <x:v>0.25</x:v>
      </x:c>
      <x:c r="D38" s="17" t="n">
        <x:f>SUM('Ma trận nhị phân'!$N$2:$N$24)</x:f>
        <x:v>6</x:v>
      </x:c>
      <x:c r="E38" s="36" t="n">
        <x:f>D38/23</x:f>
        <x:v>0.2608695652173913</x:v>
      </x:c>
      <x:c r="F38" s="1"/>
      <x:c r="G38" s="1"/>
      <x:c r="H38" s="1"/>
      <x:c r="I38" s="1"/>
      <x:c r="J38" s="1"/>
      <x:c r="K38" s="1"/>
      <x:c r="L38" s="1"/>
      <x:c r="M38" s="1"/>
      <x:c r="N38" s="1"/>
      <x:c r="O38" s="1"/>
      <x:c r="P38" s="1"/>
      <x:c r="Q38" s="1"/>
      <x:c r="R38" s="1"/>
      <x:c r="S38" s="1"/>
      <x:c r="T38" s="1"/>
      <x:c r="U38" s="1"/>
      <x:c r="V38" s="1"/>
      <x:c r="W38" s="1"/>
      <x:c r="X38" s="1"/>
      <x:c r="Y38" s="1"/>
      <x:c r="Z38" s="1"/>
    </x:row>
    <x:row r="39">
      <x:c r="A39" s="17" t="str">
        <x:v>Không rõ còn thiếu gì trước khi nộp</x:v>
      </x:c>
      <x:c r="B39" s="17" t="n">
        <x:f>SUMIFS('Ma trận nhị phân'!$O$2:$O$24,'Ma trận nhị phân'!$B$2:$B$24,"Có")</x:f>
        <x:v>5</x:v>
      </x:c>
      <x:c r="C39" s="36" t="n">
        <x:f>B39/20</x:f>
        <x:v>0.25</x:v>
      </x:c>
      <x:c r="D39" s="17" t="n">
        <x:f>SUM('Ma trận nhị phân'!$O$2:$O$24)</x:f>
        <x:v>5</x:v>
      </x:c>
      <x:c r="E39" s="36" t="n">
        <x:f>D39/23</x:f>
        <x:v>0.21739130434782608</x:v>
      </x:c>
      <x:c r="F39" s="1"/>
      <x:c r="G39" s="1"/>
      <x:c r="H39" s="1"/>
      <x:c r="I39" s="1"/>
      <x:c r="J39" s="1"/>
      <x:c r="K39" s="1"/>
      <x:c r="L39" s="1"/>
      <x:c r="M39" s="1"/>
      <x:c r="N39" s="1"/>
      <x:c r="O39" s="1"/>
      <x:c r="P39" s="1"/>
      <x:c r="Q39" s="1"/>
      <x:c r="R39" s="1"/>
      <x:c r="S39" s="1"/>
      <x:c r="T39" s="1"/>
      <x:c r="U39" s="1"/>
      <x:c r="V39" s="1"/>
      <x:c r="W39" s="1"/>
      <x:c r="X39" s="1"/>
      <x:c r="Y39" s="1"/>
      <x:c r="Z39" s="1"/>
    </x:row>
    <x:row r="40">
      <x:c r="A40" s="17" t="str">
        <x:v>Một người phải làm quá nhiều</x:v>
      </x:c>
      <x:c r="B40" s="17" t="n">
        <x:f>SUMIFS('Ma trận nhị phân'!$P$2:$P$24,'Ma trận nhị phân'!$B$2:$B$24,"Có")</x:f>
        <x:v>4</x:v>
      </x:c>
      <x:c r="C40" s="36" t="n">
        <x:f>B40/20</x:f>
        <x:v>0.2</x:v>
      </x:c>
      <x:c r="D40" s="17" t="n">
        <x:f>SUM('Ma trận nhị phân'!$P$2:$P$24)</x:f>
        <x:v>4</x:v>
      </x:c>
      <x:c r="E40" s="36" t="n">
        <x:f>D40/23</x:f>
        <x:v>0.17391304347826086</x:v>
      </x:c>
      <x:c r="F40" s="1"/>
      <x:c r="G40" s="1"/>
      <x:c r="H40" s="1"/>
      <x:c r="I40" s="1"/>
      <x:c r="J40" s="1"/>
      <x:c r="K40" s="1"/>
      <x:c r="L40" s="1"/>
      <x:c r="M40" s="1"/>
      <x:c r="N40" s="1"/>
      <x:c r="O40" s="1"/>
      <x:c r="P40" s="1"/>
      <x:c r="Q40" s="1"/>
      <x:c r="R40" s="1"/>
      <x:c r="S40" s="1"/>
      <x:c r="T40" s="1"/>
      <x:c r="U40" s="1"/>
      <x:c r="V40" s="1"/>
      <x:c r="W40" s="1"/>
      <x:c r="X40" s="1"/>
      <x:c r="Y40" s="1"/>
      <x:c r="Z40" s="1"/>
    </x:row>
    <x:row r="41">
      <x:c r="A41" s="18" t="str">
        <x:v>Có người bị kẹt nhưng nhóm biết muộn</x:v>
      </x:c>
      <x:c r="B41" s="18" t="n">
        <x:f>SUMIFS('Ma trận nhị phân'!$Q$2:$Q$24,'Ma trận nhị phân'!$B$2:$B$24,"Có")</x:f>
        <x:v>3</x:v>
      </x:c>
      <x:c r="C41" s="37" t="n">
        <x:f>B41/20</x:f>
        <x:v>0.15</x:v>
      </x:c>
      <x:c r="D41" s="18" t="n">
        <x:f>SUM('Ma trận nhị phân'!$Q$2:$Q$24)</x:f>
        <x:v>4</x:v>
      </x:c>
      <x:c r="E41" s="37" t="n">
        <x:f>D41/23</x:f>
        <x:v>0.17391304347826086</x:v>
      </x:c>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34" t="str">
        <x:v>Hậu quả</x:v>
      </x:c>
      <x:c r="B44" s="34" t="str">
        <x:v>Snapshot n=20</x:v>
      </x:c>
      <x:c r="C44" s="34" t="str">
        <x:v>%</x:v>
      </x:c>
      <x:c r="D44" s="34" t="str">
        <x:v>Mới nhất n=23</x:v>
      </x:c>
      <x:c r="E44" s="34" t="str">
        <x:v>%</x:v>
      </x:c>
      <x:c r="F44" s="1"/>
      <x:c r="G44" s="1"/>
      <x:c r="H44" s="1"/>
      <x:c r="I44" s="1"/>
      <x:c r="J44" s="1"/>
      <x:c r="K44" s="1"/>
      <x:c r="L44" s="1"/>
      <x:c r="M44" s="1"/>
      <x:c r="N44" s="1"/>
      <x:c r="O44" s="1"/>
      <x:c r="P44" s="1"/>
      <x:c r="Q44" s="1"/>
      <x:c r="R44" s="1"/>
      <x:c r="S44" s="1"/>
      <x:c r="T44" s="1"/>
      <x:c r="U44" s="1"/>
      <x:c r="V44" s="1"/>
      <x:c r="W44" s="1"/>
      <x:c r="X44" s="1"/>
      <x:c r="Y44" s="1"/>
      <x:c r="Z44" s="1"/>
    </x:row>
    <x:row r="45">
      <x:c r="A45" s="16" t="str">
        <x:v>Mất thêm thời gian</x:v>
      </x:c>
      <x:c r="B45" s="16" t="n">
        <x:f>SUMIFS('Ma trận nhị phân'!$R$2:$R$24,'Ma trận nhị phân'!$B$2:$B$24,"Có")</x:f>
        <x:v>15</x:v>
      </x:c>
      <x:c r="C45" s="35" t="n">
        <x:f>B45/20</x:f>
        <x:v>0.75</x:v>
      </x:c>
      <x:c r="D45" s="16" t="n">
        <x:f>SUM('Ma trận nhị phân'!$R$2:$R$24)</x:f>
        <x:v>17</x:v>
      </x:c>
      <x:c r="E45" s="35" t="n">
        <x:f>D45/23</x:f>
        <x:v>0.7391304347826086</x:v>
      </x:c>
      <x:c r="F45" s="1"/>
      <x:c r="G45" s="1"/>
      <x:c r="H45" s="1"/>
      <x:c r="I45" s="1"/>
      <x:c r="J45" s="1"/>
      <x:c r="K45" s="1"/>
      <x:c r="L45" s="1"/>
      <x:c r="M45" s="1"/>
      <x:c r="N45" s="1"/>
      <x:c r="O45" s="1"/>
      <x:c r="P45" s="1"/>
      <x:c r="Q45" s="1"/>
      <x:c r="R45" s="1"/>
      <x:c r="S45" s="1"/>
      <x:c r="T45" s="1"/>
      <x:c r="U45" s="1"/>
      <x:c r="V45" s="1"/>
      <x:c r="W45" s="1"/>
      <x:c r="X45" s="1"/>
      <x:c r="Y45" s="1"/>
      <x:c r="Z45" s="1"/>
    </x:row>
    <x:row r="46">
      <x:c r="A46" s="17" t="str">
        <x:v>Chất lượng bài giảm</x:v>
      </x:c>
      <x:c r="B46" s="17" t="n">
        <x:f>SUMIFS('Ma trận nhị phân'!$S$2:$S$24,'Ma trận nhị phân'!$B$2:$B$24,"Có")</x:f>
        <x:v>15</x:v>
      </x:c>
      <x:c r="C46" s="36" t="n">
        <x:f>B46/20</x:f>
        <x:v>0.75</x:v>
      </x:c>
      <x:c r="D46" s="17" t="n">
        <x:f>SUM('Ma trận nhị phân'!$S$2:$S$24)</x:f>
        <x:v>16</x:v>
      </x:c>
      <x:c r="E46" s="36" t="n">
        <x:f>D46/23</x:f>
        <x:v>0.6956521739130435</x:v>
      </x:c>
      <x:c r="F46" s="1"/>
      <x:c r="G46" s="1"/>
      <x:c r="H46" s="1"/>
      <x:c r="I46" s="1"/>
      <x:c r="J46" s="1"/>
      <x:c r="K46" s="1"/>
      <x:c r="L46" s="1"/>
      <x:c r="M46" s="1"/>
      <x:c r="N46" s="1"/>
      <x:c r="O46" s="1"/>
      <x:c r="P46" s="1"/>
      <x:c r="Q46" s="1"/>
      <x:c r="R46" s="1"/>
      <x:c r="S46" s="1"/>
      <x:c r="T46" s="1"/>
      <x:c r="U46" s="1"/>
      <x:c r="V46" s="1"/>
      <x:c r="W46" s="1"/>
      <x:c r="X46" s="1"/>
      <x:c r="Y46" s="1"/>
      <x:c r="Z46" s="1"/>
    </x:row>
    <x:row r="47">
      <x:c r="A47" s="17" t="str">
        <x:v>Trễ deadline</x:v>
      </x:c>
      <x:c r="B47" s="17" t="n">
        <x:f>SUMIFS('Ma trận nhị phân'!$T$2:$T$24,'Ma trận nhị phân'!$B$2:$B$24,"Có")</x:f>
        <x:v>6</x:v>
      </x:c>
      <x:c r="C47" s="36" t="n">
        <x:f>B47/20</x:f>
        <x:v>0.3</x:v>
      </x:c>
      <x:c r="D47" s="17" t="n">
        <x:f>SUM('Ma trận nhị phân'!$T$2:$T$24)</x:f>
        <x:v>8</x:v>
      </x:c>
      <x:c r="E47" s="36" t="n">
        <x:f>D47/23</x:f>
        <x:v>0.34782608695652173</x:v>
      </x:c>
      <x:c r="F47" s="1"/>
      <x:c r="G47" s="1"/>
      <x:c r="H47" s="1"/>
      <x:c r="I47" s="1"/>
      <x:c r="J47" s="1"/>
      <x:c r="K47" s="1"/>
      <x:c r="L47" s="1"/>
      <x:c r="M47" s="1"/>
      <x:c r="N47" s="1"/>
      <x:c r="O47" s="1"/>
      <x:c r="P47" s="1"/>
      <x:c r="Q47" s="1"/>
      <x:c r="R47" s="1"/>
      <x:c r="S47" s="1"/>
      <x:c r="T47" s="1"/>
      <x:c r="U47" s="1"/>
      <x:c r="V47" s="1"/>
      <x:c r="W47" s="1"/>
      <x:c r="X47" s="1"/>
      <x:c r="Y47" s="1"/>
      <x:c r="Z47" s="1"/>
    </x:row>
    <x:row r="48">
      <x:c r="A48" s="17" t="str">
        <x:v>Phải làm lại</x:v>
      </x:c>
      <x:c r="B48" s="17" t="n">
        <x:f>SUMIFS('Ma trận nhị phân'!$U$2:$U$24,'Ma trận nhị phân'!$B$2:$B$24,"Có")</x:f>
        <x:v>4</x:v>
      </x:c>
      <x:c r="C48" s="36" t="n">
        <x:f>B48/20</x:f>
        <x:v>0.2</x:v>
      </x:c>
      <x:c r="D48" s="17" t="n">
        <x:f>SUM('Ma trận nhị phân'!$U$2:$U$24)</x:f>
        <x:v>5</x:v>
      </x:c>
      <x:c r="E48" s="36" t="n">
        <x:f>D48/23</x:f>
        <x:v>0.21739130434782608</x:v>
      </x:c>
      <x:c r="F48" s="1"/>
      <x:c r="G48" s="1"/>
      <x:c r="H48" s="1"/>
      <x:c r="I48" s="1"/>
      <x:c r="J48" s="1"/>
      <x:c r="K48" s="1"/>
      <x:c r="L48" s="1"/>
      <x:c r="M48" s="1"/>
      <x:c r="N48" s="1"/>
      <x:c r="O48" s="1"/>
      <x:c r="P48" s="1"/>
      <x:c r="Q48" s="1"/>
      <x:c r="R48" s="1"/>
      <x:c r="S48" s="1"/>
      <x:c r="T48" s="1"/>
      <x:c r="U48" s="1"/>
      <x:c r="V48" s="1"/>
      <x:c r="W48" s="1"/>
      <x:c r="X48" s="1"/>
      <x:c r="Y48" s="1"/>
      <x:c r="Z48" s="1"/>
    </x:row>
    <x:row r="49">
      <x:c r="A49" s="17" t="str">
        <x:v>Thành viên bị kẹt</x:v>
      </x:c>
      <x:c r="B49" s="17" t="n">
        <x:f>SUMIFS('Ma trận nhị phân'!$V$2:$V$24,'Ma trận nhị phân'!$B$2:$B$24,"Có")</x:f>
        <x:v>3</x:v>
      </x:c>
      <x:c r="C49" s="36" t="n">
        <x:f>B49/20</x:f>
        <x:v>0.15</x:v>
      </x:c>
      <x:c r="D49" s="17" t="n">
        <x:f>SUM('Ma trận nhị phân'!$V$2:$V$24)</x:f>
        <x:v>4</x:v>
      </x:c>
      <x:c r="E49" s="36" t="n">
        <x:f>D49/23</x:f>
        <x:v>0.17391304347826086</x:v>
      </x:c>
      <x:c r="F49" s="1"/>
      <x:c r="G49" s="1"/>
      <x:c r="H49" s="1"/>
      <x:c r="I49" s="1"/>
      <x:c r="J49" s="1"/>
      <x:c r="K49" s="1"/>
      <x:c r="L49" s="1"/>
      <x:c r="M49" s="1"/>
      <x:c r="N49" s="1"/>
      <x:c r="O49" s="1"/>
      <x:c r="P49" s="1"/>
      <x:c r="Q49" s="1"/>
      <x:c r="R49" s="1"/>
      <x:c r="S49" s="1"/>
      <x:c r="T49" s="1"/>
      <x:c r="U49" s="1"/>
      <x:c r="V49" s="1"/>
      <x:c r="W49" s="1"/>
      <x:c r="X49" s="1"/>
      <x:c r="Y49" s="1"/>
      <x:c r="Z49" s="1"/>
    </x:row>
    <x:row r="50">
      <x:c r="A50" s="18" t="str">
        <x:v>Không có hậu quả đáng kể</x:v>
      </x:c>
      <x:c r="B50" s="18" t="n">
        <x:f>SUMIFS('Ma trận nhị phân'!$W$2:$W$24,'Ma trận nhị phân'!$B$2:$B$24,"Có")</x:f>
        <x:v>1</x:v>
      </x:c>
      <x:c r="C50" s="37" t="n">
        <x:f>B50/20</x:f>
        <x:v>0.05</x:v>
      </x:c>
      <x:c r="D50" s="18" t="n">
        <x:f>SUM('Ma trận nhị phân'!$W$2:$W$24)</x:f>
        <x:v>1</x:v>
      </x:c>
      <x:c r="E50" s="37" t="n">
        <x:f>D50/23</x:f>
        <x:v>0.043478260869565216</x:v>
      </x:c>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34" t="str">
        <x:v>Thời gian mất thêm</x:v>
      </x:c>
      <x:c r="B53" s="34" t="str">
        <x:v>Snapshot n=20</x:v>
      </x:c>
      <x:c r="C53" s="34" t="str">
        <x:v>%</x:v>
      </x:c>
      <x:c r="D53" s="34" t="str">
        <x:v>Mới nhất n=23</x:v>
      </x:c>
      <x:c r="E53" s="34" t="str">
        <x:v>%</x:v>
      </x:c>
      <x:c r="F53" s="1"/>
      <x:c r="G53" s="1"/>
      <x:c r="H53" s="1"/>
      <x:c r="I53" s="1"/>
      <x:c r="J53" s="1"/>
      <x:c r="K53" s="1"/>
      <x:c r="L53" s="1"/>
      <x:c r="M53" s="1"/>
      <x:c r="N53" s="1"/>
      <x:c r="O53" s="1"/>
      <x:c r="P53" s="1"/>
      <x:c r="Q53" s="1"/>
      <x:c r="R53" s="1"/>
      <x:c r="S53" s="1"/>
      <x:c r="T53" s="1"/>
      <x:c r="U53" s="1"/>
      <x:c r="V53" s="1"/>
      <x:c r="W53" s="1"/>
      <x:c r="X53" s="1"/>
      <x:c r="Y53" s="1"/>
      <x:c r="Z53" s="1"/>
    </x:row>
    <x:row r="54">
      <x:c r="A54" s="16" t="str">
        <x:v>Hầu như không mất thêm thời gian</x:v>
      </x:c>
      <x:c r="B54" s="16" t="n">
        <x:f>COUNTIFS('Dữ liệu ẩn danh'!$B$2:$B$24,"Có",'Dữ liệu ẩn danh'!$H$2:$H$24,A54)</x:f>
        <x:v>1</x:v>
      </x:c>
      <x:c r="C54" s="35" t="n">
        <x:f>B54/20</x:f>
        <x:v>0.05</x:v>
      </x:c>
      <x:c r="D54" s="16" t="n">
        <x:f>COUNTIF('Dữ liệu ẩn danh'!$H$2:$H$24,A54)</x:f>
        <x:v>2</x:v>
      </x:c>
      <x:c r="E54" s="35" t="n">
        <x:f>D54/23</x:f>
        <x:v>0.08695652173913043</x:v>
      </x:c>
      <x:c r="F54" s="1"/>
      <x:c r="G54" s="1"/>
      <x:c r="H54" s="1"/>
      <x:c r="I54" s="1"/>
      <x:c r="J54" s="1"/>
      <x:c r="K54" s="1"/>
      <x:c r="L54" s="1"/>
      <x:c r="M54" s="1"/>
      <x:c r="N54" s="1"/>
      <x:c r="O54" s="1"/>
      <x:c r="P54" s="1"/>
      <x:c r="Q54" s="1"/>
      <x:c r="R54" s="1"/>
      <x:c r="S54" s="1"/>
      <x:c r="T54" s="1"/>
      <x:c r="U54" s="1"/>
      <x:c r="V54" s="1"/>
      <x:c r="W54" s="1"/>
      <x:c r="X54" s="1"/>
      <x:c r="Y54" s="1"/>
      <x:c r="Z54" s="1"/>
    </x:row>
    <x:row r="55">
      <x:c r="A55" s="17" t="str">
        <x:v>Dưới 5 phút</x:v>
      </x:c>
      <x:c r="B55" s="17" t="n">
        <x:f>COUNTIFS('Dữ liệu ẩn danh'!$B$2:$B$24,"Có",'Dữ liệu ẩn danh'!$H$2:$H$24,A55)</x:f>
        <x:v>3</x:v>
      </x:c>
      <x:c r="C55" s="36" t="n">
        <x:f>B55/20</x:f>
        <x:v>0.15</x:v>
      </x:c>
      <x:c r="D55" s="17" t="n">
        <x:f>COUNTIF('Dữ liệu ẩn danh'!$H$2:$H$24,A55)</x:f>
        <x:v>3</x:v>
      </x:c>
      <x:c r="E55" s="36" t="n">
        <x:f>D55/23</x:f>
        <x:v>0.13043478260869565</x:v>
      </x:c>
      <x:c r="F55" s="1"/>
      <x:c r="G55" s="1"/>
      <x:c r="H55" s="1"/>
      <x:c r="I55" s="1"/>
      <x:c r="J55" s="1"/>
      <x:c r="K55" s="1"/>
      <x:c r="L55" s="1"/>
      <x:c r="M55" s="1"/>
      <x:c r="N55" s="1"/>
      <x:c r="O55" s="1"/>
      <x:c r="P55" s="1"/>
      <x:c r="Q55" s="1"/>
      <x:c r="R55" s="1"/>
      <x:c r="S55" s="1"/>
      <x:c r="T55" s="1"/>
      <x:c r="U55" s="1"/>
      <x:c r="V55" s="1"/>
      <x:c r="W55" s="1"/>
      <x:c r="X55" s="1"/>
      <x:c r="Y55" s="1"/>
      <x:c r="Z55" s="1"/>
    </x:row>
    <x:row r="56">
      <x:c r="A56" s="17" t="str">
        <x:v>5–15 phút</x:v>
      </x:c>
      <x:c r="B56" s="17" t="n">
        <x:f>COUNTIFS('Dữ liệu ẩn danh'!$B$2:$B$24,"Có",'Dữ liệu ẩn danh'!$H$2:$H$24,A56)</x:f>
        <x:v>8</x:v>
      </x:c>
      <x:c r="C56" s="36" t="n">
        <x:f>B56/20</x:f>
        <x:v>0.4</x:v>
      </x:c>
      <x:c r="D56" s="17" t="n">
        <x:f>COUNTIF('Dữ liệu ẩn danh'!$H$2:$H$24,A56)</x:f>
        <x:v>10</x:v>
      </x:c>
      <x:c r="E56" s="36" t="n">
        <x:f>D56/23</x:f>
        <x:v>0.43478260869565216</x:v>
      </x:c>
      <x:c r="F56" s="1"/>
      <x:c r="G56" s="1"/>
      <x:c r="H56" s="1"/>
      <x:c r="I56" s="1"/>
      <x:c r="J56" s="1"/>
      <x:c r="K56" s="1"/>
      <x:c r="L56" s="1"/>
      <x:c r="M56" s="1"/>
      <x:c r="N56" s="1"/>
      <x:c r="O56" s="1"/>
      <x:c r="P56" s="1"/>
      <x:c r="Q56" s="1"/>
      <x:c r="R56" s="1"/>
      <x:c r="S56" s="1"/>
      <x:c r="T56" s="1"/>
      <x:c r="U56" s="1"/>
      <x:c r="V56" s="1"/>
      <x:c r="W56" s="1"/>
      <x:c r="X56" s="1"/>
      <x:c r="Y56" s="1"/>
      <x:c r="Z56" s="1"/>
    </x:row>
    <x:row r="57">
      <x:c r="A57" s="17" t="str">
        <x:v>15–30 phút</x:v>
      </x:c>
      <x:c r="B57" s="17" t="n">
        <x:f>COUNTIFS('Dữ liệu ẩn danh'!$B$2:$B$24,"Có",'Dữ liệu ẩn danh'!$H$2:$H$24,A57)</x:f>
        <x:v>5</x:v>
      </x:c>
      <x:c r="C57" s="36" t="n">
        <x:f>B57/20</x:f>
        <x:v>0.25</x:v>
      </x:c>
      <x:c r="D57" s="17" t="n">
        <x:f>COUNTIF('Dữ liệu ẩn danh'!$H$2:$H$24,A57)</x:f>
        <x:v>5</x:v>
      </x:c>
      <x:c r="E57" s="36" t="n">
        <x:f>D57/23</x:f>
        <x:v>0.21739130434782608</x:v>
      </x:c>
      <x:c r="F57" s="1"/>
      <x:c r="G57" s="1"/>
      <x:c r="H57" s="1"/>
      <x:c r="I57" s="1"/>
      <x:c r="J57" s="1"/>
      <x:c r="K57" s="1"/>
      <x:c r="L57" s="1"/>
      <x:c r="M57" s="1"/>
      <x:c r="N57" s="1"/>
      <x:c r="O57" s="1"/>
      <x:c r="P57" s="1"/>
      <x:c r="Q57" s="1"/>
      <x:c r="R57" s="1"/>
      <x:c r="S57" s="1"/>
      <x:c r="T57" s="1"/>
      <x:c r="U57" s="1"/>
      <x:c r="V57" s="1"/>
      <x:c r="W57" s="1"/>
      <x:c r="X57" s="1"/>
      <x:c r="Y57" s="1"/>
      <x:c r="Z57" s="1"/>
    </x:row>
    <x:row r="58">
      <x:c r="A58" s="17" t="str">
        <x:v>Trên 30 phút</x:v>
      </x:c>
      <x:c r="B58" s="17" t="n">
        <x:f>COUNTIFS('Dữ liệu ẩn danh'!$B$2:$B$24,"Có",'Dữ liệu ẩn danh'!$H$2:$H$24,A58)</x:f>
        <x:v>1</x:v>
      </x:c>
      <x:c r="C58" s="36" t="n">
        <x:f>B58/20</x:f>
        <x:v>0.05</x:v>
      </x:c>
      <x:c r="D58" s="17" t="n">
        <x:f>COUNTIF('Dữ liệu ẩn danh'!$H$2:$H$24,A58)</x:f>
        <x:v>1</x:v>
      </x:c>
      <x:c r="E58" s="36" t="n">
        <x:f>D58/23</x:f>
        <x:v>0.043478260869565216</x:v>
      </x:c>
      <x:c r="F58" s="1"/>
      <x:c r="G58" s="1"/>
      <x:c r="H58" s="1"/>
      <x:c r="I58" s="1"/>
      <x:c r="J58" s="1"/>
      <x:c r="K58" s="1"/>
      <x:c r="L58" s="1"/>
      <x:c r="M58" s="1"/>
      <x:c r="N58" s="1"/>
      <x:c r="O58" s="1"/>
      <x:c r="P58" s="1"/>
      <x:c r="Q58" s="1"/>
      <x:c r="R58" s="1"/>
      <x:c r="S58" s="1"/>
      <x:c r="T58" s="1"/>
      <x:c r="U58" s="1"/>
      <x:c r="V58" s="1"/>
      <x:c r="W58" s="1"/>
      <x:c r="X58" s="1"/>
      <x:c r="Y58" s="1"/>
      <x:c r="Z58" s="1"/>
    </x:row>
    <x:row r="59">
      <x:c r="A59" s="18" t="str">
        <x:v>Không ước lượng được</x:v>
      </x:c>
      <x:c r="B59" s="18" t="n">
        <x:f>COUNTIFS('Dữ liệu ẩn danh'!$B$2:$B$24,"Có",'Dữ liệu ẩn danh'!$H$2:$H$24,A59)</x:f>
        <x:v>2</x:v>
      </x:c>
      <x:c r="C59" s="37" t="n">
        <x:f>B59/20</x:f>
        <x:v>0.1</x:v>
      </x:c>
      <x:c r="D59" s="18" t="n">
        <x:f>COUNTIF('Dữ liệu ẩn danh'!$H$2:$H$24,A59)</x:f>
        <x:v>2</x:v>
      </x:c>
      <x:c r="E59" s="37" t="n">
        <x:f>D59/23</x:f>
        <x:v>0.08695652173913043</x:v>
      </x:c>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34" t="str">
        <x:v>Cách xác định task phù hợp</x:v>
      </x:c>
      <x:c r="B62" s="34" t="str">
        <x:v>Snapshot n=20</x:v>
      </x:c>
      <x:c r="C62" s="34" t="str">
        <x:v>%</x:v>
      </x:c>
      <x:c r="D62" s="34" t="str">
        <x:v>Mới nhất n=23</x:v>
      </x:c>
      <x:c r="E62" s="34" t="str">
        <x:v>%</x:v>
      </x:c>
      <x:c r="F62" s="1"/>
      <x:c r="G62" s="1"/>
      <x:c r="H62" s="1"/>
      <x:c r="I62" s="1"/>
      <x:c r="J62" s="1"/>
      <x:c r="K62" s="1"/>
      <x:c r="L62" s="1"/>
      <x:c r="M62" s="1"/>
      <x:c r="N62" s="1"/>
      <x:c r="O62" s="1"/>
      <x:c r="P62" s="1"/>
      <x:c r="Q62" s="1"/>
      <x:c r="R62" s="1"/>
      <x:c r="S62" s="1"/>
      <x:c r="T62" s="1"/>
      <x:c r="U62" s="1"/>
      <x:c r="V62" s="1"/>
      <x:c r="W62" s="1"/>
      <x:c r="X62" s="1"/>
      <x:c r="Y62" s="1"/>
      <x:c r="Z62" s="1"/>
    </x:row>
    <x:row r="63">
      <x:c r="A63" s="16" t="str">
        <x:v>Đội trưởng tự đánh giá</x:v>
      </x:c>
      <x:c r="B63" s="16" t="n">
        <x:f>COUNTIFS('Dữ liệu ẩn danh'!$B$2:$B$24,"Có",'Dữ liệu ẩn danh'!$I$2:$I$24,A63)</x:f>
        <x:v>6</x:v>
      </x:c>
      <x:c r="C63" s="35" t="n">
        <x:f>B63/20</x:f>
        <x:v>0.3</x:v>
      </x:c>
      <x:c r="D63" s="16" t="n">
        <x:f>COUNTIF('Dữ liệu ẩn danh'!$I$2:$I$24,A63)</x:f>
        <x:v>8</x:v>
      </x:c>
      <x:c r="E63" s="35" t="n">
        <x:f>D63/23</x:f>
        <x:v>0.34782608695652173</x:v>
      </x:c>
      <x:c r="F63" s="1"/>
      <x:c r="G63" s="1"/>
      <x:c r="H63" s="1"/>
      <x:c r="I63" s="1"/>
      <x:c r="J63" s="1"/>
      <x:c r="K63" s="1"/>
      <x:c r="L63" s="1"/>
      <x:c r="M63" s="1"/>
      <x:c r="N63" s="1"/>
      <x:c r="O63" s="1"/>
      <x:c r="P63" s="1"/>
      <x:c r="Q63" s="1"/>
      <x:c r="R63" s="1"/>
      <x:c r="S63" s="1"/>
      <x:c r="T63" s="1"/>
      <x:c r="U63" s="1"/>
      <x:c r="V63" s="1"/>
      <x:c r="W63" s="1"/>
      <x:c r="X63" s="1"/>
      <x:c r="Y63" s="1"/>
      <x:c r="Z63" s="1"/>
    </x:row>
    <x:row r="64">
      <x:c r="A64" s="17" t="str">
        <x:v>Thành viên tự nhận</x:v>
      </x:c>
      <x:c r="B64" s="17" t="n">
        <x:f>COUNTIFS('Dữ liệu ẩn danh'!$B$2:$B$24,"Có",'Dữ liệu ẩn danh'!$I$2:$I$24,A64)</x:f>
        <x:v>6</x:v>
      </x:c>
      <x:c r="C64" s="36" t="n">
        <x:f>B64/20</x:f>
        <x:v>0.3</x:v>
      </x:c>
      <x:c r="D64" s="17" t="n">
        <x:f>COUNTIF('Dữ liệu ẩn danh'!$I$2:$I$24,A64)</x:f>
        <x:v>6</x:v>
      </x:c>
      <x:c r="E64" s="36" t="n">
        <x:f>D64/23</x:f>
        <x:v>0.2608695652173913</x:v>
      </x:c>
      <x:c r="F64" s="1"/>
      <x:c r="G64" s="1"/>
      <x:c r="H64" s="1"/>
      <x:c r="I64" s="1"/>
      <x:c r="J64" s="1"/>
      <x:c r="K64" s="1"/>
      <x:c r="L64" s="1"/>
      <x:c r="M64" s="1"/>
      <x:c r="N64" s="1"/>
      <x:c r="O64" s="1"/>
      <x:c r="P64" s="1"/>
      <x:c r="Q64" s="1"/>
      <x:c r="R64" s="1"/>
      <x:c r="S64" s="1"/>
      <x:c r="T64" s="1"/>
      <x:c r="U64" s="1"/>
      <x:c r="V64" s="1"/>
      <x:c r="W64" s="1"/>
      <x:c r="X64" s="1"/>
      <x:c r="Y64" s="1"/>
      <x:c r="Z64" s="1"/>
    </x:row>
    <x:row r="65">
      <x:c r="A65" s="17" t="str">
        <x:v>Chia ngẫu nhiên</x:v>
      </x:c>
      <x:c r="B65" s="17" t="n">
        <x:f>COUNTIFS('Dữ liệu ẩn danh'!$B$2:$B$24,"Có",'Dữ liệu ẩn danh'!$I$2:$I$24,A65)</x:f>
        <x:v>4</x:v>
      </x:c>
      <x:c r="C65" s="36" t="n">
        <x:f>B65/20</x:f>
        <x:v>0.2</x:v>
      </x:c>
      <x:c r="D65" s="17" t="n">
        <x:f>COUNTIF('Dữ liệu ẩn danh'!$I$2:$I$24,A65)</x:f>
        <x:v>5</x:v>
      </x:c>
      <x:c r="E65" s="36" t="n">
        <x:f>D65/23</x:f>
        <x:v>0.21739130434782608</x:v>
      </x:c>
      <x:c r="F65" s="1"/>
      <x:c r="G65" s="1"/>
      <x:c r="H65" s="1"/>
      <x:c r="I65" s="1"/>
      <x:c r="J65" s="1"/>
      <x:c r="K65" s="1"/>
      <x:c r="L65" s="1"/>
      <x:c r="M65" s="1"/>
      <x:c r="N65" s="1"/>
      <x:c r="O65" s="1"/>
      <x:c r="P65" s="1"/>
      <x:c r="Q65" s="1"/>
      <x:c r="R65" s="1"/>
      <x:c r="S65" s="1"/>
      <x:c r="T65" s="1"/>
      <x:c r="U65" s="1"/>
      <x:c r="V65" s="1"/>
      <x:c r="W65" s="1"/>
      <x:c r="X65" s="1"/>
      <x:c r="Y65" s="1"/>
      <x:c r="Z65" s="1"/>
    </x:row>
    <x:row r="66">
      <x:c r="A66" s="17" t="str">
        <x:v>Dựa trên lần làm việc trước</x:v>
      </x:c>
      <x:c r="B66" s="17" t="n">
        <x:f>COUNTIFS('Dữ liệu ẩn danh'!$B$2:$B$24,"Có",'Dữ liệu ẩn danh'!$I$2:$I$24,A66)</x:f>
        <x:v>3</x:v>
      </x:c>
      <x:c r="C66" s="36" t="n">
        <x:f>B66/20</x:f>
        <x:v>0.15</x:v>
      </x:c>
      <x:c r="D66" s="17" t="n">
        <x:f>COUNTIF('Dữ liệu ẩn danh'!$I$2:$I$24,A66)</x:f>
        <x:v>3</x:v>
      </x:c>
      <x:c r="E66" s="36" t="n">
        <x:f>D66/23</x:f>
        <x:v>0.13043478260869565</x:v>
      </x:c>
      <x:c r="F66" s="1"/>
      <x:c r="G66" s="1"/>
      <x:c r="H66" s="1"/>
      <x:c r="I66" s="1"/>
      <x:c r="J66" s="1"/>
      <x:c r="K66" s="1"/>
      <x:c r="L66" s="1"/>
      <x:c r="M66" s="1"/>
      <x:c r="N66" s="1"/>
      <x:c r="O66" s="1"/>
      <x:c r="P66" s="1"/>
      <x:c r="Q66" s="1"/>
      <x:c r="R66" s="1"/>
      <x:c r="S66" s="1"/>
      <x:c r="T66" s="1"/>
      <x:c r="U66" s="1"/>
      <x:c r="V66" s="1"/>
      <x:c r="W66" s="1"/>
      <x:c r="X66" s="1"/>
      <x:c r="Y66" s="1"/>
      <x:c r="Z66" s="1"/>
    </x:row>
    <x:row r="67">
      <x:c r="A67" s="18" t="str">
        <x:v>Dựa trên hồ sơ kỹ năng</x:v>
      </x:c>
      <x:c r="B67" s="18" t="n">
        <x:f>COUNTIFS('Dữ liệu ẩn danh'!$B$2:$B$24,"Có",'Dữ liệu ẩn danh'!$I$2:$I$24,A67)</x:f>
        <x:v>1</x:v>
      </x:c>
      <x:c r="C67" s="37" t="n">
        <x:f>B67/20</x:f>
        <x:v>0.05</x:v>
      </x:c>
      <x:c r="D67" s="18" t="n">
        <x:f>COUNTIF('Dữ liệu ẩn danh'!$I$2:$I$24,A67)</x:f>
        <x:v>1</x:v>
      </x:c>
      <x:c r="E67" s="37" t="n">
        <x:f>D67/23</x:f>
        <x:v>0.043478260869565216</x:v>
      </x:c>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34" t="str">
        <x:v>Trạng thái willing user</x:v>
      </x:c>
      <x:c r="B70" s="34" t="str">
        <x:v>Snapshot n=20</x:v>
      </x:c>
      <x:c r="C70" s="34" t="str">
        <x:v>%</x:v>
      </x:c>
      <x:c r="D70" s="34" t="str">
        <x:v>Mới nhất n=23</x:v>
      </x:c>
      <x:c r="E70" s="34" t="str">
        <x:v>%</x:v>
      </x:c>
      <x:c r="F70" s="1"/>
      <x:c r="G70" s="1"/>
      <x:c r="H70" s="1"/>
      <x:c r="I70" s="1"/>
      <x:c r="J70" s="1"/>
      <x:c r="K70" s="1"/>
      <x:c r="L70" s="1"/>
      <x:c r="M70" s="1"/>
      <x:c r="N70" s="1"/>
      <x:c r="O70" s="1"/>
      <x:c r="P70" s="1"/>
      <x:c r="Q70" s="1"/>
      <x:c r="R70" s="1"/>
      <x:c r="S70" s="1"/>
      <x:c r="T70" s="1"/>
      <x:c r="U70" s="1"/>
      <x:c r="V70" s="1"/>
      <x:c r="W70" s="1"/>
      <x:c r="X70" s="1"/>
      <x:c r="Y70" s="1"/>
      <x:c r="Z70" s="1"/>
    </x:row>
    <x:row r="71">
      <x:c r="A71" s="16" t="str">
        <x:v>Có thông tin liên hệ</x:v>
      </x:c>
      <x:c r="B71" s="16" t="n">
        <x:f>COUNTIFS('Dữ liệu ẩn danh'!$B$2:$B$24,"Có",'Dữ liệu ẩn danh'!$J$2:$J$24,A71)</x:f>
        <x:v>3</x:v>
      </x:c>
      <x:c r="C71" s="35" t="n">
        <x:f>B71/20</x:f>
        <x:v>0.15</x:v>
      </x:c>
      <x:c r="D71" s="16" t="n">
        <x:f>COUNTIF('Dữ liệu ẩn danh'!$J$2:$J$24,A71)</x:f>
        <x:v>3</x:v>
      </x:c>
      <x:c r="E71" s="35" t="n">
        <x:f>D71/23</x:f>
        <x:v>0.13043478260869565</x:v>
      </x:c>
      <x:c r="F71" s="1"/>
      <x:c r="G71" s="1"/>
      <x:c r="H71" s="1"/>
      <x:c r="I71" s="1"/>
      <x:c r="J71" s="1"/>
      <x:c r="K71" s="1"/>
      <x:c r="L71" s="1"/>
      <x:c r="M71" s="1"/>
      <x:c r="N71" s="1"/>
      <x:c r="O71" s="1"/>
      <x:c r="P71" s="1"/>
      <x:c r="Q71" s="1"/>
      <x:c r="R71" s="1"/>
      <x:c r="S71" s="1"/>
      <x:c r="T71" s="1"/>
      <x:c r="U71" s="1"/>
      <x:c r="V71" s="1"/>
      <x:c r="W71" s="1"/>
      <x:c r="X71" s="1"/>
      <x:c r="Y71" s="1"/>
      <x:c r="Z71" s="1"/>
    </x:row>
    <x:row r="72">
      <x:c r="A72" s="17" t="str">
        <x:v>Chưa đủ thông tin để liên hệ</x:v>
      </x:c>
      <x:c r="B72" s="17" t="n">
        <x:f>COUNTIFS('Dữ liệu ẩn danh'!$B$2:$B$24,"Có",'Dữ liệu ẩn danh'!$J$2:$J$24,A72)</x:f>
        <x:v>3</x:v>
      </x:c>
      <x:c r="C72" s="36" t="n">
        <x:f>B72/20</x:f>
        <x:v>0.15</x:v>
      </x:c>
      <x:c r="D72" s="17" t="n">
        <x:f>COUNTIF('Dữ liệu ẩn danh'!$J$2:$J$24,A72)</x:f>
        <x:v>3</x:v>
      </x:c>
      <x:c r="E72" s="36" t="n">
        <x:f>D72/23</x:f>
        <x:v>0.13043478260869565</x:v>
      </x:c>
      <x:c r="F72" s="1"/>
      <x:c r="G72" s="1"/>
      <x:c r="H72" s="1"/>
      <x:c r="I72" s="1"/>
      <x:c r="J72" s="1"/>
      <x:c r="K72" s="1"/>
      <x:c r="L72" s="1"/>
      <x:c r="M72" s="1"/>
      <x:c r="N72" s="1"/>
      <x:c r="O72" s="1"/>
      <x:c r="P72" s="1"/>
      <x:c r="Q72" s="1"/>
      <x:c r="R72" s="1"/>
      <x:c r="S72" s="1"/>
      <x:c r="T72" s="1"/>
      <x:c r="U72" s="1"/>
      <x:c r="V72" s="1"/>
      <x:c r="W72" s="1"/>
      <x:c r="X72" s="1"/>
      <x:c r="Y72" s="1"/>
      <x:c r="Z72" s="1"/>
    </x:row>
    <x:row r="73">
      <x:c r="A73" s="17" t="str">
        <x:v>Không đồng ý/không hợp lệ</x:v>
      </x:c>
      <x:c r="B73" s="17" t="n">
        <x:f>COUNTIFS('Dữ liệu ẩn danh'!$B$2:$B$24,"Có",'Dữ liệu ẩn danh'!$J$2:$J$24,A73)</x:f>
        <x:v>1</x:v>
      </x:c>
      <x:c r="C73" s="36" t="n">
        <x:f>B73/20</x:f>
        <x:v>0.05</x:v>
      </x:c>
      <x:c r="D73" s="17" t="n">
        <x:f>COUNTIF('Dữ liệu ẩn danh'!$J$2:$J$24,A73)</x:f>
        <x:v>1</x:v>
      </x:c>
      <x:c r="E73" s="36" t="n">
        <x:f>D73/23</x:f>
        <x:v>0.043478260869565216</x:v>
      </x:c>
      <x:c r="F73" s="1"/>
      <x:c r="G73" s="1"/>
      <x:c r="H73" s="1"/>
      <x:c r="I73" s="1"/>
      <x:c r="J73" s="1"/>
      <x:c r="K73" s="1"/>
      <x:c r="L73" s="1"/>
      <x:c r="M73" s="1"/>
      <x:c r="N73" s="1"/>
      <x:c r="O73" s="1"/>
      <x:c r="P73" s="1"/>
      <x:c r="Q73" s="1"/>
      <x:c r="R73" s="1"/>
      <x:c r="S73" s="1"/>
      <x:c r="T73" s="1"/>
      <x:c r="U73" s="1"/>
      <x:c r="V73" s="1"/>
      <x:c r="W73" s="1"/>
      <x:c r="X73" s="1"/>
      <x:c r="Y73" s="1"/>
      <x:c r="Z73" s="1"/>
    </x:row>
    <x:row r="74">
      <x:c r="A74" s="18" t="str">
        <x:v>Không trả lời</x:v>
      </x:c>
      <x:c r="B74" s="18" t="n">
        <x:f>COUNTIFS('Dữ liệu ẩn danh'!$B$2:$B$24,"Có",'Dữ liệu ẩn danh'!$J$2:$J$24,A74)</x:f>
        <x:v>13</x:v>
      </x:c>
      <x:c r="C74" s="37" t="n">
        <x:f>B74/20</x:f>
        <x:v>0.65</x:v>
      </x:c>
      <x:c r="D74" s="18" t="n">
        <x:f>COUNTIF('Dữ liệu ẩn danh'!$J$2:$J$24,A74)</x:f>
        <x:v>16</x:v>
      </x:c>
      <x:c r="E74" s="37" t="n">
        <x:f>D74/23</x:f>
        <x:v>0.6956521739130435</x:v>
      </x:c>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mergeCells>
    <x:mergeCell ref="A1:E1"/>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4" hidden="0" customWidth="1"/>
    <x:col min="3" max="3" width="25" hidden="0" customWidth="1"/>
    <x:col min="4" max="4" width="22" hidden="0" customWidth="1"/>
    <x:col min="5" max="5" width="48" hidden="0" customWidth="1"/>
    <x:col min="6" max="6" width="48" hidden="0" customWidth="1"/>
    <x:col min="7" max="7" width="48" hidden="0" customWidth="1"/>
    <x:col min="8" max="8" width="22" hidden="0" customWidth="1"/>
    <x:col min="9" max="9" width="28" hidden="0" customWidth="1"/>
    <x:col min="10" max="10" width="28" hidden="0" customWidth="1"/>
  </x:cols>
  <x:sheetData>
    <x:row r="1" ht="32" customHeight="1">
      <x:c r="A1" s="13" t="str">
        <x:v>Mã phản hồi</x:v>
      </x:c>
      <x:c r="B1" s="14" t="str">
        <x:v>Thuộc snapshot 22</x:v>
      </x:c>
      <x:c r="C1" s="14" t="str">
        <x:v>Vai trò</x:v>
      </x:c>
      <x:c r="D1" s="14" t="str">
        <x:v>Thời gian thống nhất</x:v>
      </x:c>
      <x:c r="E1" s="14" t="str">
        <x:v>Nguồn xác định đầu việc</x:v>
      </x:c>
      <x:c r="F1" s="14" t="str">
        <x:v>Vấn đề gặp phải</x:v>
      </x:c>
      <x:c r="G1" s="14" t="str">
        <x:v>Hậu quả</x:v>
      </x:c>
      <x:c r="H1" s="14" t="str">
        <x:v>Thời gian mất thêm</x:v>
      </x:c>
      <x:c r="I1" s="14" t="str">
        <x:v>Cách xác định task phù hợp</x:v>
      </x:c>
      <x:c r="J1" s="15" t="str">
        <x:v>Trạng thái willing user</x:v>
      </x:c>
      <x:c r="K1" s="1"/>
      <x:c r="L1" s="1"/>
      <x:c r="M1" s="1"/>
      <x:c r="N1" s="1"/>
      <x:c r="O1" s="1"/>
      <x:c r="P1" s="1"/>
      <x:c r="Q1" s="1"/>
      <x:c r="R1" s="1"/>
      <x:c r="S1" s="1"/>
      <x:c r="T1" s="1"/>
      <x:c r="U1" s="1"/>
      <x:c r="V1" s="1"/>
      <x:c r="W1" s="1"/>
      <x:c r="X1" s="1"/>
      <x:c r="Y1" s="1"/>
      <x:c r="Z1" s="1"/>
    </x:row>
    <x:row r="2" ht="32" customHeight="1">
      <x:c r="A2" s="22" t="str">
        <x:v>R01</x:v>
      </x:c>
      <x:c r="B2" s="22" t="str">
        <x:v>Có</x:v>
      </x:c>
      <x:c r="C2" s="22" t="str">
        <x:v>Đội trưởng/người chia việc</x:v>
      </x:c>
      <x:c r="D2" s="22" t="str">
        <x:v>Trên 30 phút</x:v>
      </x:c>
      <x:c r="E2" s="22" t="str">
        <x:v>Tự nhớ hoặc vừa làm vừa hỏi</x:v>
      </x:c>
      <x:c r="F2" s="22" t="str">
        <x:v>Hai hoặc nhiều người làm trùng một phần, Có phần việc bị bỏ sót, Task không phù hợp năng lực</x:v>
      </x:c>
      <x:c r="G2" s="22" t="str">
        <x:v>Mất thêm thời gian, Chất lượng bài giảm</x:v>
      </x:c>
      <x:c r="H2" s="22" t="str">
        <x:v>15–30 phút</x:v>
      </x:c>
      <x:c r="I2" s="22" t="str">
        <x:v>Thành viên tự nhận</x:v>
      </x:c>
      <x:c r="J2" s="22" t="str">
        <x:v>Không trả lời</x:v>
      </x:c>
      <x:c r="K2" s="1"/>
      <x:c r="L2" s="1"/>
      <x:c r="M2" s="1"/>
      <x:c r="N2" s="1"/>
      <x:c r="O2" s="1"/>
      <x:c r="P2" s="1"/>
      <x:c r="Q2" s="1"/>
      <x:c r="R2" s="1"/>
      <x:c r="S2" s="1"/>
      <x:c r="T2" s="1"/>
      <x:c r="U2" s="1"/>
      <x:c r="V2" s="1"/>
      <x:c r="W2" s="1"/>
      <x:c r="X2" s="1"/>
      <x:c r="Y2" s="1"/>
      <x:c r="Z2" s="1"/>
    </x:row>
    <x:row r="3" ht="32" customHeight="1">
      <x:c r="A3" s="23" t="str">
        <x:v>R02</x:v>
      </x:c>
      <x:c r="B3" s="23" t="str">
        <x:v>Có</x:v>
      </x:c>
      <x:c r="C3" s="23" t="str">
        <x:v>Đội trưởng/người chia việc</x:v>
      </x:c>
      <x:c r="D3" s="23" t="str">
        <x:v>5 đến 15 phút</x:v>
      </x:c>
      <x:c r="E3" s="23" t="str">
        <x:v>Tin nhắn Discord/Zalo/Messenger, Google Docs/Sheet/Notion do nhóm tự tạo</x:v>
      </x:c>
      <x:c r="F3" s="23" t="str">
        <x:v>Hai hoặc nhiều người làm trùng một phần, Phải chia lại task giữa chừng</x:v>
      </x:c>
      <x:c r="G3" s="23" t="str">
        <x:v>Phải làm lại, Chất lượng bài giảm</x:v>
      </x:c>
      <x:c r="H3" s="23" t="str">
        <x:v>Trên 30 phút</x:v>
      </x:c>
      <x:c r="I3" s="23" t="str">
        <x:v>Dựa trên lần làm việc trước</x:v>
      </x:c>
      <x:c r="J3" s="23" t="str">
        <x:v>Không trả lời</x:v>
      </x:c>
      <x:c r="K3" s="1"/>
      <x:c r="L3" s="1"/>
      <x:c r="M3" s="1"/>
      <x:c r="N3" s="1"/>
      <x:c r="O3" s="1"/>
      <x:c r="P3" s="1"/>
      <x:c r="Q3" s="1"/>
      <x:c r="R3" s="1"/>
      <x:c r="S3" s="1"/>
      <x:c r="T3" s="1"/>
      <x:c r="U3" s="1"/>
      <x:c r="V3" s="1"/>
      <x:c r="W3" s="1"/>
      <x:c r="X3" s="1"/>
      <x:c r="Y3" s="1"/>
      <x:c r="Z3" s="1"/>
    </x:row>
    <x:row r="4" ht="32" customHeight="1">
      <x:c r="A4" s="23" t="str">
        <x:v>R03</x:v>
      </x:c>
      <x:c r="B4" s="23" t="str">
        <x:v>Có</x:v>
      </x:c>
      <x:c r="C4" s="23" t="str">
        <x:v>Thành viên nhận task</x:v>
      </x:c>
      <x:c r="D4" s="23" t="str">
        <x:v>Cuối cùng vẫn chưa rõ</x:v>
      </x:c>
      <x:c r="E4" s="23" t="str">
        <x:v>README/đề bài/repository, Một thành viên tóm tắt lại bằng miệng/chat</x:v>
      </x:c>
      <x:c r="F4" s="23" t="str">
        <x:v>Khó biết nhóm đã xong đến đâu, Không rõ còn thiếu gì trước khi nộp, Có người bị kẹt nhưng nhóm biết muộn</x:v>
      </x:c>
      <x:c r="G4" s="23" t="str">
        <x:v>Mất thêm thời gian, Chất lượng bài giảm</x:v>
      </x:c>
      <x:c r="H4" s="23" t="str">
        <x:v>5–15 phút</x:v>
      </x:c>
      <x:c r="I4" s="23" t="str">
        <x:v>Chia ngẫu nhiên</x:v>
      </x:c>
      <x:c r="J4" s="23" t="str">
        <x:v>Không trả lời</x:v>
      </x:c>
      <x:c r="K4" s="1"/>
      <x:c r="L4" s="1"/>
      <x:c r="M4" s="1"/>
      <x:c r="N4" s="1"/>
      <x:c r="O4" s="1"/>
      <x:c r="P4" s="1"/>
      <x:c r="Q4" s="1"/>
      <x:c r="R4" s="1"/>
      <x:c r="S4" s="1"/>
      <x:c r="T4" s="1"/>
      <x:c r="U4" s="1"/>
      <x:c r="V4" s="1"/>
      <x:c r="W4" s="1"/>
      <x:c r="X4" s="1"/>
      <x:c r="Y4" s="1"/>
      <x:c r="Z4" s="1"/>
    </x:row>
    <x:row r="5" ht="32" customHeight="1">
      <x:c r="A5" s="23" t="str">
        <x:v>R04</x:v>
      </x:c>
      <x:c r="B5" s="23" t="str">
        <x:v>Có</x:v>
      </x:c>
      <x:c r="C5" s="23" t="str">
        <x:v>Đội trưởng/người chia việc</x:v>
      </x:c>
      <x:c r="D5" s="23" t="str">
        <x:v>15 đến 30 phút</x:v>
      </x:c>
      <x:c r="E5" s="23" t="str">
        <x:v>Nội dung bài LAB/codelab trên VLearn, README/đề bài/repository</x:v>
      </x:c>
      <x:c r="F5" s="23" t="str">
        <x:v>Có người chưa biết làm gì, Phải chia lại task giữa chừng, Khó biết nhóm đã xong đến đâu</x:v>
      </x:c>
      <x:c r="G5" s="23" t="str">
        <x:v>Mất thêm thời gian, Chất lượng bài giảm</x:v>
      </x:c>
      <x:c r="H5" s="23" t="str">
        <x:v>Không ước lượng được</x:v>
      </x:c>
      <x:c r="I5" s="23" t="str">
        <x:v>Chia ngẫu nhiên</x:v>
      </x:c>
      <x:c r="J5" s="23" t="str">
        <x:v>Không trả lời</x:v>
      </x:c>
      <x:c r="K5" s="1"/>
      <x:c r="L5" s="1"/>
      <x:c r="M5" s="1"/>
      <x:c r="N5" s="1"/>
      <x:c r="O5" s="1"/>
      <x:c r="P5" s="1"/>
      <x:c r="Q5" s="1"/>
      <x:c r="R5" s="1"/>
      <x:c r="S5" s="1"/>
      <x:c r="T5" s="1"/>
      <x:c r="U5" s="1"/>
      <x:c r="V5" s="1"/>
      <x:c r="W5" s="1"/>
      <x:c r="X5" s="1"/>
      <x:c r="Y5" s="1"/>
      <x:c r="Z5" s="1"/>
    </x:row>
    <x:row r="6" ht="32" customHeight="1">
      <x:c r="A6" s="23" t="str">
        <x:v>R05</x:v>
      </x:c>
      <x:c r="B6" s="23" t="str">
        <x:v>Có</x:v>
      </x:c>
      <x:c r="C6" s="23" t="str">
        <x:v>Đội trưởng/người chia việc</x:v>
      </x:c>
      <x:c r="D6" s="23" t="str">
        <x:v>5 đến 15 phút</x:v>
      </x:c>
      <x:c r="E6" s="23" t="str">
        <x:v>Nội dung bài LAB/codelab trên VLearn, README/đề bài/repository</x:v>
      </x:c>
      <x:c r="F6" s="23" t="str">
        <x:v>Hai hoặc nhiều người làm trùng một phần, Có phần việc bị bỏ sót</x:v>
      </x:c>
      <x:c r="G6" s="23" t="str">
        <x:v>Mất thêm thời gian, Chất lượng bài giảm</x:v>
      </x:c>
      <x:c r="H6" s="23" t="str">
        <x:v>5–15 phút</x:v>
      </x:c>
      <x:c r="I6" s="23" t="str">
        <x:v>Đội trưởng tự đánh giá</x:v>
      </x:c>
      <x:c r="J6" s="23" t="str">
        <x:v>Có thông tin liên hệ</x:v>
      </x:c>
      <x:c r="K6" s="1"/>
      <x:c r="L6" s="1"/>
      <x:c r="M6" s="1"/>
      <x:c r="N6" s="1"/>
      <x:c r="O6" s="1"/>
      <x:c r="P6" s="1"/>
      <x:c r="Q6" s="1"/>
      <x:c r="R6" s="1"/>
      <x:c r="S6" s="1"/>
      <x:c r="T6" s="1"/>
      <x:c r="U6" s="1"/>
      <x:c r="V6" s="1"/>
      <x:c r="W6" s="1"/>
      <x:c r="X6" s="1"/>
      <x:c r="Y6" s="1"/>
      <x:c r="Z6" s="1"/>
    </x:row>
    <x:row r="7" ht="32" customHeight="1">
      <x:c r="A7" s="23" t="str">
        <x:v>R06</x:v>
      </x:c>
      <x:c r="B7" s="23" t="str">
        <x:v>Có</x:v>
      </x:c>
      <x:c r="C7" s="23" t="str">
        <x:v>Thành viên nhận task</x:v>
      </x:c>
      <x:c r="D7" s="23" t="str">
        <x:v>5 đến 15 phút</x:v>
      </x:c>
      <x:c r="E7" s="23" t="str">
        <x:v>Google Docs/Sheet/Notion do nhóm tự tạo</x:v>
      </x:c>
      <x:c r="F7" s="23" t="str">
        <x:v>Hai hoặc nhiều người làm trùng một phần</x:v>
      </x:c>
      <x:c r="G7" s="23" t="str">
        <x:v>Mất thêm thời gian</x:v>
      </x:c>
      <x:c r="H7" s="23" t="str">
        <x:v>5–15 phút</x:v>
      </x:c>
      <x:c r="I7" s="23" t="str">
        <x:v>Thành viên tự nhận</x:v>
      </x:c>
      <x:c r="J7" s="23" t="str">
        <x:v>Không trả lời</x:v>
      </x:c>
      <x:c r="K7" s="1"/>
      <x:c r="L7" s="1"/>
      <x:c r="M7" s="1"/>
      <x:c r="N7" s="1"/>
      <x:c r="O7" s="1"/>
      <x:c r="P7" s="1"/>
      <x:c r="Q7" s="1"/>
      <x:c r="R7" s="1"/>
      <x:c r="S7" s="1"/>
      <x:c r="T7" s="1"/>
      <x:c r="U7" s="1"/>
      <x:c r="V7" s="1"/>
      <x:c r="W7" s="1"/>
      <x:c r="X7" s="1"/>
      <x:c r="Y7" s="1"/>
      <x:c r="Z7" s="1"/>
    </x:row>
    <x:row r="8" ht="32" customHeight="1">
      <x:c r="A8" s="23" t="str">
        <x:v>R07</x:v>
      </x:c>
      <x:c r="B8" s="23" t="str">
        <x:v>Có</x:v>
      </x:c>
      <x:c r="C8" s="23" t="str">
        <x:v>Thành viên nhận task</x:v>
      </x:c>
      <x:c r="D8" s="23" t="str">
        <x:v>5 đến 15 phút</x:v>
      </x:c>
      <x:c r="E8" s="23" t="str">
        <x:v>Nội dung bài LAB/codelab trên VLearn, README/đề bài/repository, Tự nhớ hoặc vừa làm vừa hỏi</x:v>
      </x:c>
      <x:c r="F8" s="23" t="str">
        <x:v>Có người chưa biết làm gì, Có phần việc bị bỏ sót, Khó biết nhóm đã xong đến đâu</x:v>
      </x:c>
      <x:c r="G8" s="23" t="str">
        <x:v>Mất thêm thời gian, Phải làm lại, Trễ deadline, Chất lượng bài giảm</x:v>
      </x:c>
      <x:c r="H8" s="23" t="str">
        <x:v>15–30 phút</x:v>
      </x:c>
      <x:c r="I8" s="23" t="str">
        <x:v>Chia ngẫu nhiên</x:v>
      </x:c>
      <x:c r="J8" s="23" t="str">
        <x:v>Không trả lời</x:v>
      </x:c>
      <x:c r="K8" s="1"/>
      <x:c r="L8" s="1"/>
      <x:c r="M8" s="1"/>
      <x:c r="N8" s="1"/>
      <x:c r="O8" s="1"/>
      <x:c r="P8" s="1"/>
      <x:c r="Q8" s="1"/>
      <x:c r="R8" s="1"/>
      <x:c r="S8" s="1"/>
      <x:c r="T8" s="1"/>
      <x:c r="U8" s="1"/>
      <x:c r="V8" s="1"/>
      <x:c r="W8" s="1"/>
      <x:c r="X8" s="1"/>
      <x:c r="Y8" s="1"/>
      <x:c r="Z8" s="1"/>
    </x:row>
    <x:row r="9" ht="32" customHeight="1">
      <x:c r="A9" s="23" t="str">
        <x:v>R08</x:v>
      </x:c>
      <x:c r="B9" s="23" t="str">
        <x:v>Có</x:v>
      </x:c>
      <x:c r="C9" s="23" t="str">
        <x:v>Thành viên nhận task</x:v>
      </x:c>
      <x:c r="D9" s="23" t="str">
        <x:v>Dưới 5 phút</x:v>
      </x:c>
      <x:c r="E9" s="23" t="str">
        <x:v>README/đề bài/repository, Google Docs/Sheet/Notion do nhóm tự tạo, Một thành viên tóm tắt lại bằng miệng/chat</x:v>
      </x:c>
      <x:c r="F9" s="23" t="str">
        <x:v>Có phần việc bị bỏ sót</x:v>
      </x:c>
      <x:c r="G9" s="23" t="str">
        <x:v>Mất thêm thời gian</x:v>
      </x:c>
      <x:c r="H9" s="23" t="str">
        <x:v>Dưới 5 phút</x:v>
      </x:c>
      <x:c r="I9" s="23" t="str">
        <x:v>Thành viên tự nhận</x:v>
      </x:c>
      <x:c r="J9" s="23" t="str">
        <x:v>Chưa đủ thông tin để liên hệ</x:v>
      </x:c>
      <x:c r="K9" s="1"/>
      <x:c r="L9" s="1"/>
      <x:c r="M9" s="1"/>
      <x:c r="N9" s="1"/>
      <x:c r="O9" s="1"/>
      <x:c r="P9" s="1"/>
      <x:c r="Q9" s="1"/>
      <x:c r="R9" s="1"/>
      <x:c r="S9" s="1"/>
      <x:c r="T9" s="1"/>
      <x:c r="U9" s="1"/>
      <x:c r="V9" s="1"/>
      <x:c r="W9" s="1"/>
      <x:c r="X9" s="1"/>
      <x:c r="Y9" s="1"/>
      <x:c r="Z9" s="1"/>
    </x:row>
    <x:row r="10" ht="32" customHeight="1">
      <x:c r="A10" s="23" t="str">
        <x:v>R09</x:v>
      </x:c>
      <x:c r="B10" s="23" t="str">
        <x:v>Có</x:v>
      </x:c>
      <x:c r="C10" s="23" t="str">
        <x:v>Thành viên nhận task</x:v>
      </x:c>
      <x:c r="D10" s="23" t="str">
        <x:v>5 đến 15 phút</x:v>
      </x:c>
      <x:c r="E10" s="23" t="str">
        <x:v>README/đề bài/repository</x:v>
      </x:c>
      <x:c r="F10" s="23" t="str">
        <x:v>Có người chưa biết làm gì, Có phần việc bị bỏ sót, Phải chia lại task giữa chừng</x:v>
      </x:c>
      <x:c r="G10" s="23" t="str">
        <x:v>Mất thêm thời gian, Trễ deadline</x:v>
      </x:c>
      <x:c r="H10" s="23" t="str">
        <x:v>5–15 phút</x:v>
      </x:c>
      <x:c r="I10" s="23" t="str">
        <x:v>Đội trưởng tự đánh giá</x:v>
      </x:c>
      <x:c r="J10" s="23" t="str">
        <x:v>Có thông tin liên hệ</x:v>
      </x:c>
      <x:c r="K10" s="1"/>
      <x:c r="L10" s="1"/>
      <x:c r="M10" s="1"/>
      <x:c r="N10" s="1"/>
      <x:c r="O10" s="1"/>
      <x:c r="P10" s="1"/>
      <x:c r="Q10" s="1"/>
      <x:c r="R10" s="1"/>
      <x:c r="S10" s="1"/>
      <x:c r="T10" s="1"/>
      <x:c r="U10" s="1"/>
      <x:c r="V10" s="1"/>
      <x:c r="W10" s="1"/>
      <x:c r="X10" s="1"/>
      <x:c r="Y10" s="1"/>
      <x:c r="Z10" s="1"/>
    </x:row>
    <x:row r="11" ht="32" customHeight="1">
      <x:c r="A11" s="23" t="str">
        <x:v>R10</x:v>
      </x:c>
      <x:c r="B11" s="23" t="str">
        <x:v>Có</x:v>
      </x:c>
      <x:c r="C11" s="23" t="str">
        <x:v>Cùng cả nhóm quyết định</x:v>
      </x:c>
      <x:c r="D11" s="23" t="str">
        <x:v>15 đến 30 phút</x:v>
      </x:c>
      <x:c r="E11" s="23" t="str">
        <x:v>Nội dung bài LAB/codelab trên VLearn, README/đề bài/repository</x:v>
      </x:c>
      <x:c r="F11" s="23" t="str">
        <x:v>Có người chưa biết làm gì, Có phần việc bị bỏ sót, Một người phải làm quá nhiều, Khó biết nhóm đã xong đến đâu</x:v>
      </x:c>
      <x:c r="G11" s="23" t="str">
        <x:v>Mất thêm thời gian, Chất lượng bài giảm</x:v>
      </x:c>
      <x:c r="H11" s="23" t="str">
        <x:v>5–15 phút</x:v>
      </x:c>
      <x:c r="I11" s="23" t="str">
        <x:v>Thành viên tự nhận</x:v>
      </x:c>
      <x:c r="J11" s="23" t="str">
        <x:v>Không trả lời</x:v>
      </x:c>
      <x:c r="K11" s="1"/>
      <x:c r="L11" s="1"/>
      <x:c r="M11" s="1"/>
      <x:c r="N11" s="1"/>
      <x:c r="O11" s="1"/>
      <x:c r="P11" s="1"/>
      <x:c r="Q11" s="1"/>
      <x:c r="R11" s="1"/>
      <x:c r="S11" s="1"/>
      <x:c r="T11" s="1"/>
      <x:c r="U11" s="1"/>
      <x:c r="V11" s="1"/>
      <x:c r="W11" s="1"/>
      <x:c r="X11" s="1"/>
      <x:c r="Y11" s="1"/>
      <x:c r="Z11" s="1"/>
    </x:row>
    <x:row r="12" ht="32" customHeight="1">
      <x:c r="A12" s="23" t="str">
        <x:v>R11</x:v>
      </x:c>
      <x:c r="B12" s="23" t="str">
        <x:v>Có</x:v>
      </x:c>
      <x:c r="C12" s="23" t="str">
        <x:v>Thành viên nhận task</x:v>
      </x:c>
      <x:c r="D12" s="23" t="str">
        <x:v>15 đến 30 phút</x:v>
      </x:c>
      <x:c r="E12" s="23" t="str">
        <x:v>README/đề bài/repository</x:v>
      </x:c>
      <x:c r="F12" s="23" t="str">
        <x:v>Có người chưa biết làm gì, Hai hoặc nhiều người làm trùng một phần</x:v>
      </x:c>
      <x:c r="G12" s="23" t="str">
        <x:v>Trễ deadline, Chất lượng bài giảm, Không có hậu quả đáng kể</x:v>
      </x:c>
      <x:c r="H12" s="23" t="str">
        <x:v>5–15 phút</x:v>
      </x:c>
      <x:c r="I12" s="23" t="str">
        <x:v>Đội trưởng tự đánh giá</x:v>
      </x:c>
      <x:c r="J12" s="23" t="str">
        <x:v>Không trả lời</x:v>
      </x:c>
      <x:c r="K12" s="1"/>
      <x:c r="L12" s="1"/>
      <x:c r="M12" s="1"/>
      <x:c r="N12" s="1"/>
      <x:c r="O12" s="1"/>
      <x:c r="P12" s="1"/>
      <x:c r="Q12" s="1"/>
      <x:c r="R12" s="1"/>
      <x:c r="S12" s="1"/>
      <x:c r="T12" s="1"/>
      <x:c r="U12" s="1"/>
      <x:c r="V12" s="1"/>
      <x:c r="W12" s="1"/>
      <x:c r="X12" s="1"/>
      <x:c r="Y12" s="1"/>
      <x:c r="Z12" s="1"/>
    </x:row>
    <x:row r="13" ht="32" customHeight="1">
      <x:c r="A13" s="23" t="str">
        <x:v>R12</x:v>
      </x:c>
      <x:c r="B13" s="23" t="str">
        <x:v>Có</x:v>
      </x:c>
      <x:c r="C13" s="23" t="str">
        <x:v>Đội trưởng/người chia việc</x:v>
      </x:c>
      <x:c r="D13" s="23" t="str">
        <x:v>15 đến 30 phút</x:v>
      </x:c>
      <x:c r="E13" s="23" t="str">
        <x:v>Nội dung bài LAB/codelab trên VLearn, README/đề bài/repository, Tin nhắn Discord/Zalo/Messenger, Google Docs/Sheet/Notion do nhóm tự tạo</x:v>
      </x:c>
      <x:c r="F13" s="23" t="str">
        <x:v>Có người chưa biết làm gì, Hai hoặc nhiều người làm trùng một phần, Có phần việc bị bỏ sót, Task không phù hợp năng lực, Một người phải làm quá nhiều, Phải chia lại task giữa chừng, Khó biết nhóm đã xong đến đâu, Không rõ còn thiếu gì trước khi nộp</x:v>
      </x:c>
      <x:c r="G13" s="23" t="str">
        <x:v>Mất thêm thời gian, Thành viên bị kẹt, Chất lượng bài giảm</x:v>
      </x:c>
      <x:c r="H13" s="23" t="str">
        <x:v>Không ước lượng được</x:v>
      </x:c>
      <x:c r="I13" s="23" t="str">
        <x:v>Đội trưởng tự đánh giá</x:v>
      </x:c>
      <x:c r="J13" s="23" t="str">
        <x:v>Không đồng ý/không hợp lệ</x:v>
      </x:c>
      <x:c r="K13" s="1"/>
      <x:c r="L13" s="1"/>
      <x:c r="M13" s="1"/>
      <x:c r="N13" s="1"/>
      <x:c r="O13" s="1"/>
      <x:c r="P13" s="1"/>
      <x:c r="Q13" s="1"/>
      <x:c r="R13" s="1"/>
      <x:c r="S13" s="1"/>
      <x:c r="T13" s="1"/>
      <x:c r="U13" s="1"/>
      <x:c r="V13" s="1"/>
      <x:c r="W13" s="1"/>
      <x:c r="X13" s="1"/>
      <x:c r="Y13" s="1"/>
      <x:c r="Z13" s="1"/>
    </x:row>
    <x:row r="14" ht="32" customHeight="1">
      <x:c r="A14" s="23" t="str">
        <x:v>R13</x:v>
      </x:c>
      <x:c r="B14" s="23" t="str">
        <x:v>Có</x:v>
      </x:c>
      <x:c r="C14" s="23" t="str">
        <x:v>Thành viên nhận task</x:v>
      </x:c>
      <x:c r="D14" s="23" t="str">
        <x:v>15 đến 30 phút</x:v>
      </x:c>
      <x:c r="E14" s="23" t="str">
        <x:v>Nội dung bài LAB/codelab trên VLearn, README/đề bài/repository</x:v>
      </x:c>
      <x:c r="F14" s="23" t="str">
        <x:v>Có người chưa biết làm gì, Hai hoặc nhiều người làm trùng một phần, Có phần việc bị bỏ sót, Task không phù hợp năng lực</x:v>
      </x:c>
      <x:c r="G14" s="23" t="str">
        <x:v>Mất thêm thời gian, Trễ deadline, Chất lượng bài giảm</x:v>
      </x:c>
      <x:c r="H14" s="23" t="str">
        <x:v>15–30 phút</x:v>
      </x:c>
      <x:c r="I14" s="23" t="str">
        <x:v>Chia ngẫu nhiên</x:v>
      </x:c>
      <x:c r="J14" s="23" t="str">
        <x:v>Chưa đủ thông tin để liên hệ</x:v>
      </x:c>
      <x:c r="K14" s="1"/>
      <x:c r="L14" s="1"/>
      <x:c r="M14" s="1"/>
      <x:c r="N14" s="1"/>
      <x:c r="O14" s="1"/>
      <x:c r="P14" s="1"/>
      <x:c r="Q14" s="1"/>
      <x:c r="R14" s="1"/>
      <x:c r="S14" s="1"/>
      <x:c r="T14" s="1"/>
      <x:c r="U14" s="1"/>
      <x:c r="V14" s="1"/>
      <x:c r="W14" s="1"/>
      <x:c r="X14" s="1"/>
      <x:c r="Y14" s="1"/>
      <x:c r="Z14" s="1"/>
    </x:row>
    <x:row r="15" ht="32" customHeight="1">
      <x:c r="A15" s="23" t="str">
        <x:v>R14</x:v>
      </x:c>
      <x:c r="B15" s="23" t="str">
        <x:v>Có</x:v>
      </x:c>
      <x:c r="C15" s="23" t="str">
        <x:v>Thành viên nhận task</x:v>
      </x:c>
      <x:c r="D15" s="23" t="str">
        <x:v>Cuối cùng vẫn chưa rõ</x:v>
      </x:c>
      <x:c r="E15" s="23" t="str">
        <x:v>README/đề bài/repository, Tin nhắn Discord/Zalo/Messenger, Google Docs/Sheet/Notion do nhóm tự tạo</x:v>
      </x:c>
      <x:c r="F15" s="23" t="str">
        <x:v>Có phần việc bị bỏ sót, Task không phù hợp năng lực, Không rõ còn thiếu gì trước khi nộp</x:v>
      </x:c>
      <x:c r="G15" s="23" t="str">
        <x:v>Trễ deadline, Chất lượng bài giảm</x:v>
      </x:c>
      <x:c r="H15" s="23" t="str">
        <x:v>Hầu như không mất thêm thời gian</x:v>
      </x:c>
      <x:c r="I15" s="23" t="str">
        <x:v>Dựa trên lần làm việc trước</x:v>
      </x:c>
      <x:c r="J15" s="23" t="str">
        <x:v>Không trả lời</x:v>
      </x:c>
      <x:c r="K15" s="1"/>
      <x:c r="L15" s="1"/>
      <x:c r="M15" s="1"/>
      <x:c r="N15" s="1"/>
      <x:c r="O15" s="1"/>
      <x:c r="P15" s="1"/>
      <x:c r="Q15" s="1"/>
      <x:c r="R15" s="1"/>
      <x:c r="S15" s="1"/>
      <x:c r="T15" s="1"/>
      <x:c r="U15" s="1"/>
      <x:c r="V15" s="1"/>
      <x:c r="W15" s="1"/>
      <x:c r="X15" s="1"/>
      <x:c r="Y15" s="1"/>
      <x:c r="Z15" s="1"/>
    </x:row>
    <x:row r="16" ht="32" customHeight="1">
      <x:c r="A16" s="23" t="str">
        <x:v>R15</x:v>
      </x:c>
      <x:c r="B16" s="23" t="str">
        <x:v>Có</x:v>
      </x:c>
      <x:c r="C16" s="23" t="str">
        <x:v>Đội trưởng/người chia việc</x:v>
      </x:c>
      <x:c r="D16" s="23" t="str">
        <x:v>5 đến 15 phút</x:v>
      </x:c>
      <x:c r="E16" s="23" t="str">
        <x:v>README/đề bài/repository, Tin nhắn Discord/Zalo/Messenger</x:v>
      </x:c>
      <x:c r="F16" s="23" t="str">
        <x:v>Có phần việc bị bỏ sót, Khó biết nhóm đã xong đến đâu</x:v>
      </x:c>
      <x:c r="G16" s="23" t="str">
        <x:v>Mất thêm thời gian, Chất lượng bài giảm</x:v>
      </x:c>
      <x:c r="H16" s="23" t="str">
        <x:v>15–30 phút</x:v>
      </x:c>
      <x:c r="I16" s="23" t="str">
        <x:v>Thành viên tự nhận</x:v>
      </x:c>
      <x:c r="J16" s="23" t="str">
        <x:v>Có thông tin liên hệ</x:v>
      </x:c>
      <x:c r="K16" s="1"/>
      <x:c r="L16" s="1"/>
      <x:c r="M16" s="1"/>
      <x:c r="N16" s="1"/>
      <x:c r="O16" s="1"/>
      <x:c r="P16" s="1"/>
      <x:c r="Q16" s="1"/>
      <x:c r="R16" s="1"/>
      <x:c r="S16" s="1"/>
      <x:c r="T16" s="1"/>
      <x:c r="U16" s="1"/>
      <x:c r="V16" s="1"/>
      <x:c r="W16" s="1"/>
      <x:c r="X16" s="1"/>
      <x:c r="Y16" s="1"/>
      <x:c r="Z16" s="1"/>
    </x:row>
    <x:row r="17" ht="32" customHeight="1">
      <x:c r="A17" s="23" t="str">
        <x:v>R16</x:v>
      </x:c>
      <x:c r="B17" s="23" t="str">
        <x:v>Có</x:v>
      </x:c>
      <x:c r="C17" s="23" t="str">
        <x:v>Thành viên nhận task</x:v>
      </x:c>
      <x:c r="D17" s="23" t="str">
        <x:v>15 đến 30 phút</x:v>
      </x:c>
      <x:c r="E17" s="23" t="str">
        <x:v>Nội dung bài LAB/codelab trên VLearn</x:v>
      </x:c>
      <x:c r="F17" s="23" t="str">
        <x:v>Có phần việc bị bỏ sót</x:v>
      </x:c>
      <x:c r="G17" s="23" t="str">
        <x:v>Mất thêm thời gian</x:v>
      </x:c>
      <x:c r="H17" s="23" t="str">
        <x:v>Dưới 5 phút</x:v>
      </x:c>
      <x:c r="I17" s="23" t="str">
        <x:v>Đội trưởng tự đánh giá</x:v>
      </x:c>
      <x:c r="J17" s="23" t="str">
        <x:v>Chưa đủ thông tin để liên hệ</x:v>
      </x:c>
      <x:c r="K17" s="1"/>
      <x:c r="L17" s="1"/>
      <x:c r="M17" s="1"/>
      <x:c r="N17" s="1"/>
      <x:c r="O17" s="1"/>
      <x:c r="P17" s="1"/>
      <x:c r="Q17" s="1"/>
      <x:c r="R17" s="1"/>
      <x:c r="S17" s="1"/>
      <x:c r="T17" s="1"/>
      <x:c r="U17" s="1"/>
      <x:c r="V17" s="1"/>
      <x:c r="W17" s="1"/>
      <x:c r="X17" s="1"/>
      <x:c r="Y17" s="1"/>
      <x:c r="Z17" s="1"/>
    </x:row>
    <x:row r="18" ht="32" customHeight="1">
      <x:c r="A18" s="23" t="str">
        <x:v>R17</x:v>
      </x:c>
      <x:c r="B18" s="23" t="str">
        <x:v>Có</x:v>
      </x:c>
      <x:c r="C18" s="23" t="str">
        <x:v>Cùng cả nhóm quyết định</x:v>
      </x:c>
      <x:c r="D18" s="23" t="str">
        <x:v>Trên 30 phút</x:v>
      </x:c>
      <x:c r="E18" s="23" t="str">
        <x:v>Nội dung bài LAB/codelab trên VLearn, README/đề bài/repository</x:v>
      </x:c>
      <x:c r="F18" s="23" t="str">
        <x:v>Có người chưa biết làm gì, Hai hoặc nhiều người làm trùng một phần, Có người bị kẹt nhưng nhóm biết muộn</x:v>
      </x:c>
      <x:c r="G18" s="23" t="str">
        <x:v>Mất thêm thời gian</x:v>
      </x:c>
      <x:c r="H18" s="23" t="str">
        <x:v>5–15 phút</x:v>
      </x:c>
      <x:c r="I18" s="23" t="str">
        <x:v>Đội trưởng tự đánh giá</x:v>
      </x:c>
      <x:c r="J18" s="23" t="str">
        <x:v>Không trả lời</x:v>
      </x:c>
      <x:c r="K18" s="1"/>
      <x:c r="L18" s="1"/>
      <x:c r="M18" s="1"/>
      <x:c r="N18" s="1"/>
      <x:c r="O18" s="1"/>
      <x:c r="P18" s="1"/>
      <x:c r="Q18" s="1"/>
      <x:c r="R18" s="1"/>
      <x:c r="S18" s="1"/>
      <x:c r="T18" s="1"/>
      <x:c r="U18" s="1"/>
      <x:c r="V18" s="1"/>
      <x:c r="W18" s="1"/>
      <x:c r="X18" s="1"/>
      <x:c r="Y18" s="1"/>
      <x:c r="Z18" s="1"/>
    </x:row>
    <x:row r="19" ht="32" customHeight="1">
      <x:c r="A19" s="23" t="str">
        <x:v>R18</x:v>
      </x:c>
      <x:c r="B19" s="23" t="str">
        <x:v>Có</x:v>
      </x:c>
      <x:c r="C19" s="23" t="str">
        <x:v>Thành viên nhận task</x:v>
      </x:c>
      <x:c r="D19" s="23" t="str">
        <x:v>5 đến 15 phút</x:v>
      </x:c>
      <x:c r="E19" s="23" t="str">
        <x:v>README/đề bài/repository, Tin nhắn Discord/Zalo/Messenger, Một thành viên tóm tắt lại bằng miệng/chat</x:v>
      </x:c>
      <x:c r="F19" s="23" t="str">
        <x:v>Có người chưa biết làm gì, Một người phải làm quá nhiều, Phải chia lại task giữa chừng, Không rõ còn thiếu gì trước khi nộp</x:v>
      </x:c>
      <x:c r="G19" s="23" t="str">
        <x:v>Phải làm lại, Thành viên bị kẹt, Chất lượng bài giảm</x:v>
      </x:c>
      <x:c r="H19" s="23" t="str">
        <x:v>15–30 phút</x:v>
      </x:c>
      <x:c r="I19" s="23" t="str">
        <x:v>Dựa trên hồ sơ kỹ năng</x:v>
      </x:c>
      <x:c r="J19" s="23" t="str">
        <x:v>Không trả lời</x:v>
      </x:c>
      <x:c r="K19" s="1"/>
      <x:c r="L19" s="1"/>
      <x:c r="M19" s="1"/>
      <x:c r="N19" s="1"/>
      <x:c r="O19" s="1"/>
      <x:c r="P19" s="1"/>
      <x:c r="Q19" s="1"/>
      <x:c r="R19" s="1"/>
      <x:c r="S19" s="1"/>
      <x:c r="T19" s="1"/>
      <x:c r="U19" s="1"/>
      <x:c r="V19" s="1"/>
      <x:c r="W19" s="1"/>
      <x:c r="X19" s="1"/>
      <x:c r="Y19" s="1"/>
      <x:c r="Z19" s="1"/>
    </x:row>
    <x:row r="20" ht="32" customHeight="1">
      <x:c r="A20" s="23" t="str">
        <x:v>R19</x:v>
      </x:c>
      <x:c r="B20" s="23" t="str">
        <x:v>Có</x:v>
      </x:c>
      <x:c r="C20" s="23" t="str">
        <x:v>Thành viên nhận task</x:v>
      </x:c>
      <x:c r="D20" s="23" t="str">
        <x:v>5 đến 15 phút</x:v>
      </x:c>
      <x:c r="E20" s="23" t="str">
        <x:v>Nội dung bài LAB/codelab trên VLearn, README/đề bài/repository, Một thành viên tóm tắt lại bằng miệng/chat</x:v>
      </x:c>
      <x:c r="F20" s="23" t="str">
        <x:v>Khó biết nhóm đã xong đến đâu, Không rõ còn thiếu gì trước khi nộp</x:v>
      </x:c>
      <x:c r="G20" s="23" t="str">
        <x:v>Chất lượng bài giảm</x:v>
      </x:c>
      <x:c r="H20" s="23" t="str">
        <x:v>5–15 phút</x:v>
      </x:c>
      <x:c r="I20" s="23" t="str">
        <x:v>Thành viên tự nhận</x:v>
      </x:c>
      <x:c r="J20" s="23" t="str">
        <x:v>Không trả lời</x:v>
      </x:c>
      <x:c r="K20" s="1"/>
      <x:c r="L20" s="1"/>
      <x:c r="M20" s="1"/>
      <x:c r="N20" s="1"/>
      <x:c r="O20" s="1"/>
      <x:c r="P20" s="1"/>
      <x:c r="Q20" s="1"/>
      <x:c r="R20" s="1"/>
      <x:c r="S20" s="1"/>
      <x:c r="T20" s="1"/>
      <x:c r="U20" s="1"/>
      <x:c r="V20" s="1"/>
      <x:c r="W20" s="1"/>
      <x:c r="X20" s="1"/>
      <x:c r="Y20" s="1"/>
      <x:c r="Z20" s="1"/>
    </x:row>
    <x:row r="21" ht="32" customHeight="1">
      <x:c r="A21" s="23" t="str">
        <x:v>R20</x:v>
      </x:c>
      <x:c r="B21" s="23" t="str">
        <x:v>Có</x:v>
      </x:c>
      <x:c r="C21" s="23" t="str">
        <x:v>Thành viên nhận task</x:v>
      </x:c>
      <x:c r="D21" s="23" t="str">
        <x:v>15 đến 30 phút</x:v>
      </x:c>
      <x:c r="E21" s="23" t="str">
        <x:v>Nội dung bài LAB/codelab trên VLearn, README/đề bài/repository</x:v>
      </x:c>
      <x:c r="F21" s="23" t="str">
        <x:v>Có phần việc bị bỏ sót, Task không phù hợp năng lực, Một người phải làm quá nhiều, Phải chia lại task giữa chừng, Có người bị kẹt nhưng nhóm biết muộn</x:v>
      </x:c>
      <x:c r="G21" s="23" t="str">
        <x:v>Mất thêm thời gian, Phải làm lại, Thành viên bị kẹt, Trễ deadline, Chất lượng bài giảm</x:v>
      </x:c>
      <x:c r="H21" s="23" t="str">
        <x:v>Dưới 5 phút</x:v>
      </x:c>
      <x:c r="I21" s="23" t="str">
        <x:v>Dựa trên lần làm việc trước</x:v>
      </x:c>
      <x:c r="J21" s="23" t="str">
        <x:v>Không trả lời</x:v>
      </x:c>
      <x:c r="K21" s="1"/>
      <x:c r="L21" s="1"/>
      <x:c r="M21" s="1"/>
      <x:c r="N21" s="1"/>
      <x:c r="O21" s="1"/>
      <x:c r="P21" s="1"/>
      <x:c r="Q21" s="1"/>
      <x:c r="R21" s="1"/>
      <x:c r="S21" s="1"/>
      <x:c r="T21" s="1"/>
      <x:c r="U21" s="1"/>
      <x:c r="V21" s="1"/>
      <x:c r="W21" s="1"/>
      <x:c r="X21" s="1"/>
      <x:c r="Y21" s="1"/>
      <x:c r="Z21" s="1"/>
    </x:row>
    <x:row r="22" ht="32" customHeight="1">
      <x:c r="A22" s="23" t="str">
        <x:v>R21</x:v>
      </x:c>
      <x:c r="B22" s="23" t="str">
        <x:v>Không</x:v>
      </x:c>
      <x:c r="C22" s="23" t="str">
        <x:v>Đội trưởng/người chia việc</x:v>
      </x:c>
      <x:c r="D22" s="23" t="str">
        <x:v>5 đến 15 phút</x:v>
      </x:c>
      <x:c r="E22" s="23" t="str">
        <x:v>Nội dung bài LAB/codelab trên VLearn, README/đề bài/repository</x:v>
      </x:c>
      <x:c r="F22" s="23" t="str">
        <x:v>Có người chưa biết làm gì, Hai hoặc nhiều người làm trùng một phần</x:v>
      </x:c>
      <x:c r="G22" s="23" t="str">
        <x:v>Mất thêm thời gian, Thành viên bị kẹt, Trễ deadline</x:v>
      </x:c>
      <x:c r="H22" s="23" t="str">
        <x:v>5–15 phút</x:v>
      </x:c>
      <x:c r="I22" s="23" t="str">
        <x:v>Đội trưởng tự đánh giá</x:v>
      </x:c>
      <x:c r="J22" s="23" t="str">
        <x:v>Không trả lời</x:v>
      </x:c>
      <x:c r="K22" s="1"/>
      <x:c r="L22" s="1"/>
      <x:c r="M22" s="1"/>
      <x:c r="N22" s="1"/>
      <x:c r="O22" s="1"/>
      <x:c r="P22" s="1"/>
      <x:c r="Q22" s="1"/>
      <x:c r="R22" s="1"/>
      <x:c r="S22" s="1"/>
      <x:c r="T22" s="1"/>
      <x:c r="U22" s="1"/>
      <x:c r="V22" s="1"/>
      <x:c r="W22" s="1"/>
      <x:c r="X22" s="1"/>
      <x:c r="Y22" s="1"/>
      <x:c r="Z22" s="1"/>
    </x:row>
    <x:row r="23" ht="32" customHeight="1">
      <x:c r="A23" s="23" t="str">
        <x:v>R22</x:v>
      </x:c>
      <x:c r="B23" s="23" t="str">
        <x:v>Không</x:v>
      </x:c>
      <x:c r="C23" s="23" t="str">
        <x:v>Đội trưởng/người chia việc</x:v>
      </x:c>
      <x:c r="D23" s="23" t="str">
        <x:v>5 đến 15 phút</x:v>
      </x:c>
      <x:c r="E23" s="23" t="str">
        <x:v>Nội dung bài LAB/codelab trên VLearn, README/đề bài/repository</x:v>
      </x:c>
      <x:c r="F23" s="23" t="str">
        <x:v>Có người bị kẹt nhưng nhóm biết muộn</x:v>
      </x:c>
      <x:c r="G23" s="23" t="str">
        <x:v>Mất thêm thời gian</x:v>
      </x:c>
      <x:c r="H23" s="23" t="str">
        <x:v>Hầu như không mất thêm thời gian</x:v>
      </x:c>
      <x:c r="I23" s="23" t="str">
        <x:v>Đội trưởng tự đánh giá</x:v>
      </x:c>
      <x:c r="J23" s="23" t="str">
        <x:v>Không trả lời</x:v>
      </x:c>
      <x:c r="K23" s="1"/>
      <x:c r="L23" s="1"/>
      <x:c r="M23" s="1"/>
      <x:c r="N23" s="1"/>
      <x:c r="O23" s="1"/>
      <x:c r="P23" s="1"/>
      <x:c r="Q23" s="1"/>
      <x:c r="R23" s="1"/>
      <x:c r="S23" s="1"/>
      <x:c r="T23" s="1"/>
      <x:c r="U23" s="1"/>
      <x:c r="V23" s="1"/>
      <x:c r="W23" s="1"/>
      <x:c r="X23" s="1"/>
      <x:c r="Y23" s="1"/>
      <x:c r="Z23" s="1"/>
    </x:row>
    <x:row r="24" ht="32" customHeight="1">
      <x:c r="A24" s="24" t="str">
        <x:v>R23</x:v>
      </x:c>
      <x:c r="B24" s="24" t="str">
        <x:v>Không</x:v>
      </x:c>
      <x:c r="C24" s="24" t="str">
        <x:v>Thành viên nhận task</x:v>
      </x:c>
      <x:c r="D24" s="24" t="str">
        <x:v>5 đến 15 phút</x:v>
      </x:c>
      <x:c r="E24" s="24" t="str">
        <x:v>Nội dung bài LAB/codelab trên VLearn, README/đề bài/repository, Tin nhắn Discord/Zalo/Messenger</x:v>
      </x:c>
      <x:c r="F24" s="24" t="str">
        <x:v>Hai hoặc nhiều người làm trùng một phần, Có phần việc bị bỏ sót, Task không phù hợp năng lực, Phải chia lại task giữa chừng</x:v>
      </x:c>
      <x:c r="G24" s="24" t="str">
        <x:v>Phải làm lại, Trễ deadline, Chất lượng bài giảm</x:v>
      </x:c>
      <x:c r="H24" s="24" t="str">
        <x:v>5–15 phút</x:v>
      </x:c>
      <x:c r="I24" s="24" t="str">
        <x:v>Chia ngẫu nhiên</x:v>
      </x:c>
      <x:c r="J24" s="24" t="str">
        <x:v>Không trả lời</x:v>
      </x:c>
      <x:c r="K24" s="1"/>
      <x:c r="L24" s="1"/>
      <x:c r="M24" s="1"/>
      <x:c r="N24" s="1"/>
      <x:c r="O24" s="1"/>
      <x:c r="P24" s="1"/>
      <x:c r="Q24" s="1"/>
      <x:c r="R24" s="1"/>
      <x:c r="S24" s="1"/>
      <x:c r="T24" s="1"/>
      <x:c r="U24" s="1"/>
      <x:c r="V24" s="1"/>
      <x:c r="W24" s="1"/>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pageMargins left="0.7" right="0.7" top="0.75" bottom="0.75" header="0.3" footer="0.3"/>
  <x:tableParts count="1">
    <x:tablePart xmlns:r="http://schemas.openxmlformats.org/officeDocument/2006/relationships" r:id="R4da2c221f93a4ff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4"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30" t="str">
        <x:v>Mã phản hồi</x:v>
      </x:c>
      <x:c r="B1" s="30" t="str">
        <x:v>Thuộc snapshot 22</x:v>
      </x:c>
      <x:c r="C1" s="30" t="str">
        <x:v>README/đề bài/repository</x:v>
      </x:c>
      <x:c r="D1" s="30" t="str">
        <x:v>Nội dung bài LAB/codelab trên VLearn</x:v>
      </x:c>
      <x:c r="E1" s="30" t="str">
        <x:v>Tin nhắn Discord/Zalo/Messenger</x:v>
      </x:c>
      <x:c r="F1" s="30" t="str">
        <x:v>Google Docs/Sheet/Notion do nhóm tự tạo</x:v>
      </x:c>
      <x:c r="G1" s="30" t="str">
        <x:v>Một thành viên tóm tắt lại bằng miệng/chat</x:v>
      </x:c>
      <x:c r="H1" s="30" t="str">
        <x:v>Tự nhớ hoặc vừa làm vừa hỏi</x:v>
      </x:c>
      <x:c r="I1" s="30" t="str">
        <x:v>Có phần việc bị bỏ sót</x:v>
      </x:c>
      <x:c r="J1" s="30" t="str">
        <x:v>Có người chưa biết làm gì</x:v>
      </x:c>
      <x:c r="K1" s="30" t="str">
        <x:v>Hai hoặc nhiều người làm trùng một phần</x:v>
      </x:c>
      <x:c r="L1" s="30" t="str">
        <x:v>Khó biết nhóm đã xong đến đâu</x:v>
      </x:c>
      <x:c r="M1" s="30" t="str">
        <x:v>Phải chia lại task giữa chừng</x:v>
      </x:c>
      <x:c r="N1" s="30" t="str">
        <x:v>Task không phù hợp năng lực</x:v>
      </x:c>
      <x:c r="O1" s="30" t="str">
        <x:v>Không rõ còn thiếu gì trước khi nộp</x:v>
      </x:c>
      <x:c r="P1" s="30" t="str">
        <x:v>Một người phải làm quá nhiều</x:v>
      </x:c>
      <x:c r="Q1" s="30" t="str">
        <x:v>Có người bị kẹt nhưng nhóm biết muộn</x:v>
      </x:c>
      <x:c r="R1" s="30" t="str">
        <x:v>Mất thêm thời gian</x:v>
      </x:c>
      <x:c r="S1" s="30" t="str">
        <x:v>Chất lượng bài giảm</x:v>
      </x:c>
      <x:c r="T1" s="30" t="str">
        <x:v>Trễ deadline</x:v>
      </x:c>
      <x:c r="U1" s="30" t="str">
        <x:v>Phải làm lại</x:v>
      </x:c>
      <x:c r="V1" s="30" t="str">
        <x:v>Thành viên bị kẹt</x:v>
      </x:c>
      <x:c r="W1" s="30" t="str">
        <x:v>Không có hậu quả đáng kể</x:v>
      </x:c>
      <x:c r="X1" s="1"/>
      <x:c r="Y1" s="1"/>
      <x:c r="Z1" s="1"/>
    </x:row>
    <x:row r="2">
      <x:c r="A2" s="31" t="str">
        <x:v>R01</x:v>
      </x:c>
      <x:c r="B2" s="31" t="str">
        <x:v>Có</x:v>
      </x:c>
      <x:c r="C2" s="31" t="n">
        <x:v>0</x:v>
      </x:c>
      <x:c r="D2" s="31" t="n">
        <x:v>0</x:v>
      </x:c>
      <x:c r="E2" s="31" t="n">
        <x:v>0</x:v>
      </x:c>
      <x:c r="F2" s="31" t="n">
        <x:v>0</x:v>
      </x:c>
      <x:c r="G2" s="31" t="n">
        <x:v>0</x:v>
      </x:c>
      <x:c r="H2" s="31" t="n">
        <x:v>1</x:v>
      </x:c>
      <x:c r="I2" s="31" t="n">
        <x:v>1</x:v>
      </x:c>
      <x:c r="J2" s="31" t="n">
        <x:v>0</x:v>
      </x:c>
      <x:c r="K2" s="31" t="n">
        <x:v>1</x:v>
      </x:c>
      <x:c r="L2" s="31" t="n">
        <x:v>0</x:v>
      </x:c>
      <x:c r="M2" s="31" t="n">
        <x:v>0</x:v>
      </x:c>
      <x:c r="N2" s="31" t="n">
        <x:v>1</x:v>
      </x:c>
      <x:c r="O2" s="31" t="n">
        <x:v>0</x:v>
      </x:c>
      <x:c r="P2" s="31" t="n">
        <x:v>0</x:v>
      </x:c>
      <x:c r="Q2" s="31" t="n">
        <x:v>0</x:v>
      </x:c>
      <x:c r="R2" s="31" t="n">
        <x:v>1</x:v>
      </x:c>
      <x:c r="S2" s="31" t="n">
        <x:v>1</x:v>
      </x:c>
      <x:c r="T2" s="31" t="n">
        <x:v>0</x:v>
      </x:c>
      <x:c r="U2" s="31" t="n">
        <x:v>0</x:v>
      </x:c>
      <x:c r="V2" s="31" t="n">
        <x:v>0</x:v>
      </x:c>
      <x:c r="W2" s="31" t="n">
        <x:v>0</x:v>
      </x:c>
      <x:c r="X2" s="1"/>
      <x:c r="Y2" s="1"/>
      <x:c r="Z2" s="1"/>
    </x:row>
    <x:row r="3">
      <x:c r="A3" s="31" t="str">
        <x:v>R02</x:v>
      </x:c>
      <x:c r="B3" s="31" t="str">
        <x:v>Có</x:v>
      </x:c>
      <x:c r="C3" s="31" t="n">
        <x:v>0</x:v>
      </x:c>
      <x:c r="D3" s="31" t="n">
        <x:v>0</x:v>
      </x:c>
      <x:c r="E3" s="31" t="n">
        <x:v>1</x:v>
      </x:c>
      <x:c r="F3" s="31" t="n">
        <x:v>1</x:v>
      </x:c>
      <x:c r="G3" s="31" t="n">
        <x:v>0</x:v>
      </x:c>
      <x:c r="H3" s="31" t="n">
        <x:v>0</x:v>
      </x:c>
      <x:c r="I3" s="31" t="n">
        <x:v>0</x:v>
      </x:c>
      <x:c r="J3" s="31" t="n">
        <x:v>0</x:v>
      </x:c>
      <x:c r="K3" s="31" t="n">
        <x:v>1</x:v>
      </x:c>
      <x:c r="L3" s="31" t="n">
        <x:v>0</x:v>
      </x:c>
      <x:c r="M3" s="31" t="n">
        <x:v>1</x:v>
      </x:c>
      <x:c r="N3" s="31" t="n">
        <x:v>0</x:v>
      </x:c>
      <x:c r="O3" s="31" t="n">
        <x:v>0</x:v>
      </x:c>
      <x:c r="P3" s="31" t="n">
        <x:v>0</x:v>
      </x:c>
      <x:c r="Q3" s="31" t="n">
        <x:v>0</x:v>
      </x:c>
      <x:c r="R3" s="31" t="n">
        <x:v>0</x:v>
      </x:c>
      <x:c r="S3" s="31" t="n">
        <x:v>1</x:v>
      </x:c>
      <x:c r="T3" s="31" t="n">
        <x:v>0</x:v>
      </x:c>
      <x:c r="U3" s="31" t="n">
        <x:v>1</x:v>
      </x:c>
      <x:c r="V3" s="31" t="n">
        <x:v>0</x:v>
      </x:c>
      <x:c r="W3" s="31" t="n">
        <x:v>0</x:v>
      </x:c>
      <x:c r="X3" s="1"/>
      <x:c r="Y3" s="1"/>
      <x:c r="Z3" s="1"/>
    </x:row>
    <x:row r="4">
      <x:c r="A4" s="31" t="str">
        <x:v>R03</x:v>
      </x:c>
      <x:c r="B4" s="31" t="str">
        <x:v>Có</x:v>
      </x:c>
      <x:c r="C4" s="31" t="n">
        <x:v>1</x:v>
      </x:c>
      <x:c r="D4" s="31" t="n">
        <x:v>0</x:v>
      </x:c>
      <x:c r="E4" s="31" t="n">
        <x:v>0</x:v>
      </x:c>
      <x:c r="F4" s="31" t="n">
        <x:v>0</x:v>
      </x:c>
      <x:c r="G4" s="31" t="n">
        <x:v>1</x:v>
      </x:c>
      <x:c r="H4" s="31" t="n">
        <x:v>0</x:v>
      </x:c>
      <x:c r="I4" s="31" t="n">
        <x:v>0</x:v>
      </x:c>
      <x:c r="J4" s="31" t="n">
        <x:v>0</x:v>
      </x:c>
      <x:c r="K4" s="31" t="n">
        <x:v>0</x:v>
      </x:c>
      <x:c r="L4" s="31" t="n">
        <x:v>1</x:v>
      </x:c>
      <x:c r="M4" s="31" t="n">
        <x:v>0</x:v>
      </x:c>
      <x:c r="N4" s="31" t="n">
        <x:v>0</x:v>
      </x:c>
      <x:c r="O4" s="31" t="n">
        <x:v>1</x:v>
      </x:c>
      <x:c r="P4" s="31" t="n">
        <x:v>0</x:v>
      </x:c>
      <x:c r="Q4" s="31" t="n">
        <x:v>1</x:v>
      </x:c>
      <x:c r="R4" s="31" t="n">
        <x:v>1</x:v>
      </x:c>
      <x:c r="S4" s="31" t="n">
        <x:v>1</x:v>
      </x:c>
      <x:c r="T4" s="31" t="n">
        <x:v>0</x:v>
      </x:c>
      <x:c r="U4" s="31" t="n">
        <x:v>0</x:v>
      </x:c>
      <x:c r="V4" s="31" t="n">
        <x:v>0</x:v>
      </x:c>
      <x:c r="W4" s="31" t="n">
        <x:v>0</x:v>
      </x:c>
      <x:c r="X4" s="1"/>
      <x:c r="Y4" s="1"/>
      <x:c r="Z4" s="1"/>
    </x:row>
    <x:row r="5">
      <x:c r="A5" s="31" t="str">
        <x:v>R04</x:v>
      </x:c>
      <x:c r="B5" s="31" t="str">
        <x:v>Có</x:v>
      </x:c>
      <x:c r="C5" s="31" t="n">
        <x:v>1</x:v>
      </x:c>
      <x:c r="D5" s="31" t="n">
        <x:v>1</x:v>
      </x:c>
      <x:c r="E5" s="31" t="n">
        <x:v>0</x:v>
      </x:c>
      <x:c r="F5" s="31" t="n">
        <x:v>0</x:v>
      </x:c>
      <x:c r="G5" s="31" t="n">
        <x:v>0</x:v>
      </x:c>
      <x:c r="H5" s="31" t="n">
        <x:v>0</x:v>
      </x:c>
      <x:c r="I5" s="31" t="n">
        <x:v>0</x:v>
      </x:c>
      <x:c r="J5" s="31" t="n">
        <x:v>1</x:v>
      </x:c>
      <x:c r="K5" s="31" t="n">
        <x:v>0</x:v>
      </x:c>
      <x:c r="L5" s="31" t="n">
        <x:v>1</x:v>
      </x:c>
      <x:c r="M5" s="31" t="n">
        <x:v>1</x:v>
      </x:c>
      <x:c r="N5" s="31" t="n">
        <x:v>0</x:v>
      </x:c>
      <x:c r="O5" s="31" t="n">
        <x:v>0</x:v>
      </x:c>
      <x:c r="P5" s="31" t="n">
        <x:v>0</x:v>
      </x:c>
      <x:c r="Q5" s="31" t="n">
        <x:v>0</x:v>
      </x:c>
      <x:c r="R5" s="31" t="n">
        <x:v>1</x:v>
      </x:c>
      <x:c r="S5" s="31" t="n">
        <x:v>1</x:v>
      </x:c>
      <x:c r="T5" s="31" t="n">
        <x:v>0</x:v>
      </x:c>
      <x:c r="U5" s="31" t="n">
        <x:v>0</x:v>
      </x:c>
      <x:c r="V5" s="31" t="n">
        <x:v>0</x:v>
      </x:c>
      <x:c r="W5" s="31" t="n">
        <x:v>0</x:v>
      </x:c>
      <x:c r="X5" s="1"/>
      <x:c r="Y5" s="1"/>
      <x:c r="Z5" s="1"/>
    </x:row>
    <x:row r="6">
      <x:c r="A6" s="31" t="str">
        <x:v>R05</x:v>
      </x:c>
      <x:c r="B6" s="31" t="str">
        <x:v>Có</x:v>
      </x:c>
      <x:c r="C6" s="31" t="n">
        <x:v>1</x:v>
      </x:c>
      <x:c r="D6" s="31" t="n">
        <x:v>1</x:v>
      </x:c>
      <x:c r="E6" s="31" t="n">
        <x:v>0</x:v>
      </x:c>
      <x:c r="F6" s="31" t="n">
        <x:v>0</x:v>
      </x:c>
      <x:c r="G6" s="31" t="n">
        <x:v>0</x:v>
      </x:c>
      <x:c r="H6" s="31" t="n">
        <x:v>0</x:v>
      </x:c>
      <x:c r="I6" s="31" t="n">
        <x:v>1</x:v>
      </x:c>
      <x:c r="J6" s="31" t="n">
        <x:v>0</x:v>
      </x:c>
      <x:c r="K6" s="31" t="n">
        <x:v>1</x:v>
      </x:c>
      <x:c r="L6" s="31" t="n">
        <x:v>0</x:v>
      </x:c>
      <x:c r="M6" s="31" t="n">
        <x:v>0</x:v>
      </x:c>
      <x:c r="N6" s="31" t="n">
        <x:v>0</x:v>
      </x:c>
      <x:c r="O6" s="31" t="n">
        <x:v>0</x:v>
      </x:c>
      <x:c r="P6" s="31" t="n">
        <x:v>0</x:v>
      </x:c>
      <x:c r="Q6" s="31" t="n">
        <x:v>0</x:v>
      </x:c>
      <x:c r="R6" s="31" t="n">
        <x:v>1</x:v>
      </x:c>
      <x:c r="S6" s="31" t="n">
        <x:v>1</x:v>
      </x:c>
      <x:c r="T6" s="31" t="n">
        <x:v>0</x:v>
      </x:c>
      <x:c r="U6" s="31" t="n">
        <x:v>0</x:v>
      </x:c>
      <x:c r="V6" s="31" t="n">
        <x:v>0</x:v>
      </x:c>
      <x:c r="W6" s="31" t="n">
        <x:v>0</x:v>
      </x:c>
      <x:c r="X6" s="1"/>
      <x:c r="Y6" s="1"/>
      <x:c r="Z6" s="1"/>
    </x:row>
    <x:row r="7">
      <x:c r="A7" s="31" t="str">
        <x:v>R06</x:v>
      </x:c>
      <x:c r="B7" s="31" t="str">
        <x:v>Có</x:v>
      </x:c>
      <x:c r="C7" s="31" t="n">
        <x:v>0</x:v>
      </x:c>
      <x:c r="D7" s="31" t="n">
        <x:v>0</x:v>
      </x:c>
      <x:c r="E7" s="31" t="n">
        <x:v>0</x:v>
      </x:c>
      <x:c r="F7" s="31" t="n">
        <x:v>1</x:v>
      </x:c>
      <x:c r="G7" s="31" t="n">
        <x:v>0</x:v>
      </x:c>
      <x:c r="H7" s="31" t="n">
        <x:v>0</x:v>
      </x:c>
      <x:c r="I7" s="31" t="n">
        <x:v>0</x:v>
      </x:c>
      <x:c r="J7" s="31" t="n">
        <x:v>0</x:v>
      </x:c>
      <x:c r="K7" s="31" t="n">
        <x:v>1</x:v>
      </x:c>
      <x:c r="L7" s="31" t="n">
        <x:v>0</x:v>
      </x:c>
      <x:c r="M7" s="31" t="n">
        <x:v>0</x:v>
      </x:c>
      <x:c r="N7" s="31" t="n">
        <x:v>0</x:v>
      </x:c>
      <x:c r="O7" s="31" t="n">
        <x:v>0</x:v>
      </x:c>
      <x:c r="P7" s="31" t="n">
        <x:v>0</x:v>
      </x:c>
      <x:c r="Q7" s="31" t="n">
        <x:v>0</x:v>
      </x:c>
      <x:c r="R7" s="31" t="n">
        <x:v>1</x:v>
      </x:c>
      <x:c r="S7" s="31" t="n">
        <x:v>0</x:v>
      </x:c>
      <x:c r="T7" s="31" t="n">
        <x:v>0</x:v>
      </x:c>
      <x:c r="U7" s="31" t="n">
        <x:v>0</x:v>
      </x:c>
      <x:c r="V7" s="31" t="n">
        <x:v>0</x:v>
      </x:c>
      <x:c r="W7" s="31" t="n">
        <x:v>0</x:v>
      </x:c>
      <x:c r="X7" s="1"/>
      <x:c r="Y7" s="1"/>
      <x:c r="Z7" s="1"/>
    </x:row>
    <x:row r="8">
      <x:c r="A8" s="31" t="str">
        <x:v>R07</x:v>
      </x:c>
      <x:c r="B8" s="31" t="str">
        <x:v>Có</x:v>
      </x:c>
      <x:c r="C8" s="31" t="n">
        <x:v>1</x:v>
      </x:c>
      <x:c r="D8" s="31" t="n">
        <x:v>1</x:v>
      </x:c>
      <x:c r="E8" s="31" t="n">
        <x:v>0</x:v>
      </x:c>
      <x:c r="F8" s="31" t="n">
        <x:v>0</x:v>
      </x:c>
      <x:c r="G8" s="31" t="n">
        <x:v>0</x:v>
      </x:c>
      <x:c r="H8" s="31" t="n">
        <x:v>1</x:v>
      </x:c>
      <x:c r="I8" s="31" t="n">
        <x:v>1</x:v>
      </x:c>
      <x:c r="J8" s="31" t="n">
        <x:v>1</x:v>
      </x:c>
      <x:c r="K8" s="31" t="n">
        <x:v>0</x:v>
      </x:c>
      <x:c r="L8" s="31" t="n">
        <x:v>1</x:v>
      </x:c>
      <x:c r="M8" s="31" t="n">
        <x:v>0</x:v>
      </x:c>
      <x:c r="N8" s="31" t="n">
        <x:v>0</x:v>
      </x:c>
      <x:c r="O8" s="31" t="n">
        <x:v>0</x:v>
      </x:c>
      <x:c r="P8" s="31" t="n">
        <x:v>0</x:v>
      </x:c>
      <x:c r="Q8" s="31" t="n">
        <x:v>0</x:v>
      </x:c>
      <x:c r="R8" s="31" t="n">
        <x:v>1</x:v>
      </x:c>
      <x:c r="S8" s="31" t="n">
        <x:v>1</x:v>
      </x:c>
      <x:c r="T8" s="31" t="n">
        <x:v>1</x:v>
      </x:c>
      <x:c r="U8" s="31" t="n">
        <x:v>1</x:v>
      </x:c>
      <x:c r="V8" s="31" t="n">
        <x:v>0</x:v>
      </x:c>
      <x:c r="W8" s="31" t="n">
        <x:v>0</x:v>
      </x:c>
      <x:c r="X8" s="1"/>
      <x:c r="Y8" s="1"/>
      <x:c r="Z8" s="1"/>
    </x:row>
    <x:row r="9">
      <x:c r="A9" s="31" t="str">
        <x:v>R08</x:v>
      </x:c>
      <x:c r="B9" s="31" t="str">
        <x:v>Có</x:v>
      </x:c>
      <x:c r="C9" s="31" t="n">
        <x:v>1</x:v>
      </x:c>
      <x:c r="D9" s="31" t="n">
        <x:v>0</x:v>
      </x:c>
      <x:c r="E9" s="31" t="n">
        <x:v>0</x:v>
      </x:c>
      <x:c r="F9" s="31" t="n">
        <x:v>1</x:v>
      </x:c>
      <x:c r="G9" s="31" t="n">
        <x:v>1</x:v>
      </x:c>
      <x:c r="H9" s="31" t="n">
        <x:v>0</x:v>
      </x:c>
      <x:c r="I9" s="31" t="n">
        <x:v>1</x:v>
      </x:c>
      <x:c r="J9" s="31" t="n">
        <x:v>0</x:v>
      </x:c>
      <x:c r="K9" s="31" t="n">
        <x:v>0</x:v>
      </x:c>
      <x:c r="L9" s="31" t="n">
        <x:v>0</x:v>
      </x:c>
      <x:c r="M9" s="31" t="n">
        <x:v>0</x:v>
      </x:c>
      <x:c r="N9" s="31" t="n">
        <x:v>0</x:v>
      </x:c>
      <x:c r="O9" s="31" t="n">
        <x:v>0</x:v>
      </x:c>
      <x:c r="P9" s="31" t="n">
        <x:v>0</x:v>
      </x:c>
      <x:c r="Q9" s="31" t="n">
        <x:v>0</x:v>
      </x:c>
      <x:c r="R9" s="31" t="n">
        <x:v>1</x:v>
      </x:c>
      <x:c r="S9" s="31" t="n">
        <x:v>0</x:v>
      </x:c>
      <x:c r="T9" s="31" t="n">
        <x:v>0</x:v>
      </x:c>
      <x:c r="U9" s="31" t="n">
        <x:v>0</x:v>
      </x:c>
      <x:c r="V9" s="31" t="n">
        <x:v>0</x:v>
      </x:c>
      <x:c r="W9" s="31" t="n">
        <x:v>0</x:v>
      </x:c>
      <x:c r="X9" s="1"/>
      <x:c r="Y9" s="1"/>
      <x:c r="Z9" s="1"/>
    </x:row>
    <x:row r="10">
      <x:c r="A10" s="31" t="str">
        <x:v>R09</x:v>
      </x:c>
      <x:c r="B10" s="31" t="str">
        <x:v>Có</x:v>
      </x:c>
      <x:c r="C10" s="31" t="n">
        <x:v>1</x:v>
      </x:c>
      <x:c r="D10" s="31" t="n">
        <x:v>0</x:v>
      </x:c>
      <x:c r="E10" s="31" t="n">
        <x:v>0</x:v>
      </x:c>
      <x:c r="F10" s="31" t="n">
        <x:v>0</x:v>
      </x:c>
      <x:c r="G10" s="31" t="n">
        <x:v>0</x:v>
      </x:c>
      <x:c r="H10" s="31" t="n">
        <x:v>0</x:v>
      </x:c>
      <x:c r="I10" s="31" t="n">
        <x:v>1</x:v>
      </x:c>
      <x:c r="J10" s="31" t="n">
        <x:v>1</x:v>
      </x:c>
      <x:c r="K10" s="31" t="n">
        <x:v>0</x:v>
      </x:c>
      <x:c r="L10" s="31" t="n">
        <x:v>0</x:v>
      </x:c>
      <x:c r="M10" s="31" t="n">
        <x:v>1</x:v>
      </x:c>
      <x:c r="N10" s="31" t="n">
        <x:v>0</x:v>
      </x:c>
      <x:c r="O10" s="31" t="n">
        <x:v>0</x:v>
      </x:c>
      <x:c r="P10" s="31" t="n">
        <x:v>0</x:v>
      </x:c>
      <x:c r="Q10" s="31" t="n">
        <x:v>0</x:v>
      </x:c>
      <x:c r="R10" s="31" t="n">
        <x:v>1</x:v>
      </x:c>
      <x:c r="S10" s="31" t="n">
        <x:v>0</x:v>
      </x:c>
      <x:c r="T10" s="31" t="n">
        <x:v>1</x:v>
      </x:c>
      <x:c r="U10" s="31" t="n">
        <x:v>0</x:v>
      </x:c>
      <x:c r="V10" s="31" t="n">
        <x:v>0</x:v>
      </x:c>
      <x:c r="W10" s="31" t="n">
        <x:v>0</x:v>
      </x:c>
      <x:c r="X10" s="1"/>
      <x:c r="Y10" s="1"/>
      <x:c r="Z10" s="1"/>
    </x:row>
    <x:row r="11">
      <x:c r="A11" s="31" t="str">
        <x:v>R10</x:v>
      </x:c>
      <x:c r="B11" s="31" t="str">
        <x:v>Có</x:v>
      </x:c>
      <x:c r="C11" s="31" t="n">
        <x:v>1</x:v>
      </x:c>
      <x:c r="D11" s="31" t="n">
        <x:v>1</x:v>
      </x:c>
      <x:c r="E11" s="31" t="n">
        <x:v>0</x:v>
      </x:c>
      <x:c r="F11" s="31" t="n">
        <x:v>0</x:v>
      </x:c>
      <x:c r="G11" s="31" t="n">
        <x:v>0</x:v>
      </x:c>
      <x:c r="H11" s="31" t="n">
        <x:v>0</x:v>
      </x:c>
      <x:c r="I11" s="31" t="n">
        <x:v>1</x:v>
      </x:c>
      <x:c r="J11" s="31" t="n">
        <x:v>1</x:v>
      </x:c>
      <x:c r="K11" s="31" t="n">
        <x:v>0</x:v>
      </x:c>
      <x:c r="L11" s="31" t="n">
        <x:v>1</x:v>
      </x:c>
      <x:c r="M11" s="31" t="n">
        <x:v>0</x:v>
      </x:c>
      <x:c r="N11" s="31" t="n">
        <x:v>0</x:v>
      </x:c>
      <x:c r="O11" s="31" t="n">
        <x:v>0</x:v>
      </x:c>
      <x:c r="P11" s="31" t="n">
        <x:v>1</x:v>
      </x:c>
      <x:c r="Q11" s="31" t="n">
        <x:v>0</x:v>
      </x:c>
      <x:c r="R11" s="31" t="n">
        <x:v>1</x:v>
      </x:c>
      <x:c r="S11" s="31" t="n">
        <x:v>1</x:v>
      </x:c>
      <x:c r="T11" s="31" t="n">
        <x:v>0</x:v>
      </x:c>
      <x:c r="U11" s="31" t="n">
        <x:v>0</x:v>
      </x:c>
      <x:c r="V11" s="31" t="n">
        <x:v>0</x:v>
      </x:c>
      <x:c r="W11" s="31" t="n">
        <x:v>0</x:v>
      </x:c>
      <x:c r="X11" s="1"/>
      <x:c r="Y11" s="1"/>
      <x:c r="Z11" s="1"/>
    </x:row>
    <x:row r="12">
      <x:c r="A12" s="31" t="str">
        <x:v>R11</x:v>
      </x:c>
      <x:c r="B12" s="31" t="str">
        <x:v>Có</x:v>
      </x:c>
      <x:c r="C12" s="31" t="n">
        <x:v>1</x:v>
      </x:c>
      <x:c r="D12" s="31" t="n">
        <x:v>0</x:v>
      </x:c>
      <x:c r="E12" s="31" t="n">
        <x:v>0</x:v>
      </x:c>
      <x:c r="F12" s="31" t="n">
        <x:v>0</x:v>
      </x:c>
      <x:c r="G12" s="31" t="n">
        <x:v>0</x:v>
      </x:c>
      <x:c r="H12" s="31" t="n">
        <x:v>0</x:v>
      </x:c>
      <x:c r="I12" s="31" t="n">
        <x:v>0</x:v>
      </x:c>
      <x:c r="J12" s="31" t="n">
        <x:v>1</x:v>
      </x:c>
      <x:c r="K12" s="31" t="n">
        <x:v>1</x:v>
      </x:c>
      <x:c r="L12" s="31" t="n">
        <x:v>0</x:v>
      </x:c>
      <x:c r="M12" s="31" t="n">
        <x:v>0</x:v>
      </x:c>
      <x:c r="N12" s="31" t="n">
        <x:v>0</x:v>
      </x:c>
      <x:c r="O12" s="31" t="n">
        <x:v>0</x:v>
      </x:c>
      <x:c r="P12" s="31" t="n">
        <x:v>0</x:v>
      </x:c>
      <x:c r="Q12" s="31" t="n">
        <x:v>0</x:v>
      </x:c>
      <x:c r="R12" s="31" t="n">
        <x:v>0</x:v>
      </x:c>
      <x:c r="S12" s="31" t="n">
        <x:v>1</x:v>
      </x:c>
      <x:c r="T12" s="31" t="n">
        <x:v>1</x:v>
      </x:c>
      <x:c r="U12" s="31" t="n">
        <x:v>0</x:v>
      </x:c>
      <x:c r="V12" s="31" t="n">
        <x:v>0</x:v>
      </x:c>
      <x:c r="W12" s="31" t="n">
        <x:v>1</x:v>
      </x:c>
      <x:c r="X12" s="1"/>
      <x:c r="Y12" s="1"/>
      <x:c r="Z12" s="1"/>
    </x:row>
    <x:row r="13">
      <x:c r="A13" s="31" t="str">
        <x:v>R12</x:v>
      </x:c>
      <x:c r="B13" s="31" t="str">
        <x:v>Có</x:v>
      </x:c>
      <x:c r="C13" s="31" t="n">
        <x:v>1</x:v>
      </x:c>
      <x:c r="D13" s="31" t="n">
        <x:v>1</x:v>
      </x:c>
      <x:c r="E13" s="31" t="n">
        <x:v>1</x:v>
      </x:c>
      <x:c r="F13" s="31" t="n">
        <x:v>1</x:v>
      </x:c>
      <x:c r="G13" s="31" t="n">
        <x:v>0</x:v>
      </x:c>
      <x:c r="H13" s="31" t="n">
        <x:v>0</x:v>
      </x:c>
      <x:c r="I13" s="31" t="n">
        <x:v>1</x:v>
      </x:c>
      <x:c r="J13" s="31" t="n">
        <x:v>1</x:v>
      </x:c>
      <x:c r="K13" s="31" t="n">
        <x:v>1</x:v>
      </x:c>
      <x:c r="L13" s="31" t="n">
        <x:v>1</x:v>
      </x:c>
      <x:c r="M13" s="31" t="n">
        <x:v>1</x:v>
      </x:c>
      <x:c r="N13" s="31" t="n">
        <x:v>1</x:v>
      </x:c>
      <x:c r="O13" s="31" t="n">
        <x:v>1</x:v>
      </x:c>
      <x:c r="P13" s="31" t="n">
        <x:v>1</x:v>
      </x:c>
      <x:c r="Q13" s="31" t="n">
        <x:v>0</x:v>
      </x:c>
      <x:c r="R13" s="31" t="n">
        <x:v>1</x:v>
      </x:c>
      <x:c r="S13" s="31" t="n">
        <x:v>1</x:v>
      </x:c>
      <x:c r="T13" s="31" t="n">
        <x:v>0</x:v>
      </x:c>
      <x:c r="U13" s="31" t="n">
        <x:v>0</x:v>
      </x:c>
      <x:c r="V13" s="31" t="n">
        <x:v>1</x:v>
      </x:c>
      <x:c r="W13" s="31" t="n">
        <x:v>0</x:v>
      </x:c>
      <x:c r="X13" s="1"/>
      <x:c r="Y13" s="1"/>
      <x:c r="Z13" s="1"/>
    </x:row>
    <x:row r="14">
      <x:c r="A14" s="31" t="str">
        <x:v>R13</x:v>
      </x:c>
      <x:c r="B14" s="31" t="str">
        <x:v>Có</x:v>
      </x:c>
      <x:c r="C14" s="31" t="n">
        <x:v>1</x:v>
      </x:c>
      <x:c r="D14" s="31" t="n">
        <x:v>1</x:v>
      </x:c>
      <x:c r="E14" s="31" t="n">
        <x:v>0</x:v>
      </x:c>
      <x:c r="F14" s="31" t="n">
        <x:v>0</x:v>
      </x:c>
      <x:c r="G14" s="31" t="n">
        <x:v>0</x:v>
      </x:c>
      <x:c r="H14" s="31" t="n">
        <x:v>0</x:v>
      </x:c>
      <x:c r="I14" s="31" t="n">
        <x:v>1</x:v>
      </x:c>
      <x:c r="J14" s="31" t="n">
        <x:v>1</x:v>
      </x:c>
      <x:c r="K14" s="31" t="n">
        <x:v>1</x:v>
      </x:c>
      <x:c r="L14" s="31" t="n">
        <x:v>0</x:v>
      </x:c>
      <x:c r="M14" s="31" t="n">
        <x:v>0</x:v>
      </x:c>
      <x:c r="N14" s="31" t="n">
        <x:v>1</x:v>
      </x:c>
      <x:c r="O14" s="31" t="n">
        <x:v>0</x:v>
      </x:c>
      <x:c r="P14" s="31" t="n">
        <x:v>0</x:v>
      </x:c>
      <x:c r="Q14" s="31" t="n">
        <x:v>0</x:v>
      </x:c>
      <x:c r="R14" s="31" t="n">
        <x:v>1</x:v>
      </x:c>
      <x:c r="S14" s="31" t="n">
        <x:v>1</x:v>
      </x:c>
      <x:c r="T14" s="31" t="n">
        <x:v>1</x:v>
      </x:c>
      <x:c r="U14" s="31" t="n">
        <x:v>0</x:v>
      </x:c>
      <x:c r="V14" s="31" t="n">
        <x:v>0</x:v>
      </x:c>
      <x:c r="W14" s="31" t="n">
        <x:v>0</x:v>
      </x:c>
      <x:c r="X14" s="1"/>
      <x:c r="Y14" s="1"/>
      <x:c r="Z14" s="1"/>
    </x:row>
    <x:row r="15">
      <x:c r="A15" s="31" t="str">
        <x:v>R14</x:v>
      </x:c>
      <x:c r="B15" s="31" t="str">
        <x:v>Có</x:v>
      </x:c>
      <x:c r="C15" s="31" t="n">
        <x:v>1</x:v>
      </x:c>
      <x:c r="D15" s="31" t="n">
        <x:v>0</x:v>
      </x:c>
      <x:c r="E15" s="31" t="n">
        <x:v>1</x:v>
      </x:c>
      <x:c r="F15" s="31" t="n">
        <x:v>1</x:v>
      </x:c>
      <x:c r="G15" s="31" t="n">
        <x:v>0</x:v>
      </x:c>
      <x:c r="H15" s="31" t="n">
        <x:v>0</x:v>
      </x:c>
      <x:c r="I15" s="31" t="n">
        <x:v>1</x:v>
      </x:c>
      <x:c r="J15" s="31" t="n">
        <x:v>0</x:v>
      </x:c>
      <x:c r="K15" s="31" t="n">
        <x:v>0</x:v>
      </x:c>
      <x:c r="L15" s="31" t="n">
        <x:v>0</x:v>
      </x:c>
      <x:c r="M15" s="31" t="n">
        <x:v>0</x:v>
      </x:c>
      <x:c r="N15" s="31" t="n">
        <x:v>1</x:v>
      </x:c>
      <x:c r="O15" s="31" t="n">
        <x:v>1</x:v>
      </x:c>
      <x:c r="P15" s="31" t="n">
        <x:v>0</x:v>
      </x:c>
      <x:c r="Q15" s="31" t="n">
        <x:v>0</x:v>
      </x:c>
      <x:c r="R15" s="31" t="n">
        <x:v>0</x:v>
      </x:c>
      <x:c r="S15" s="31" t="n">
        <x:v>1</x:v>
      </x:c>
      <x:c r="T15" s="31" t="n">
        <x:v>1</x:v>
      </x:c>
      <x:c r="U15" s="31" t="n">
        <x:v>0</x:v>
      </x:c>
      <x:c r="V15" s="31" t="n">
        <x:v>0</x:v>
      </x:c>
      <x:c r="W15" s="31" t="n">
        <x:v>0</x:v>
      </x:c>
      <x:c r="X15" s="1"/>
      <x:c r="Y15" s="1"/>
      <x:c r="Z15" s="1"/>
    </x:row>
    <x:row r="16">
      <x:c r="A16" s="31" t="str">
        <x:v>R15</x:v>
      </x:c>
      <x:c r="B16" s="31" t="str">
        <x:v>Có</x:v>
      </x:c>
      <x:c r="C16" s="31" t="n">
        <x:v>1</x:v>
      </x:c>
      <x:c r="D16" s="31" t="n">
        <x:v>0</x:v>
      </x:c>
      <x:c r="E16" s="31" t="n">
        <x:v>1</x:v>
      </x:c>
      <x:c r="F16" s="31" t="n">
        <x:v>0</x:v>
      </x:c>
      <x:c r="G16" s="31" t="n">
        <x:v>0</x:v>
      </x:c>
      <x:c r="H16" s="31" t="n">
        <x:v>0</x:v>
      </x:c>
      <x:c r="I16" s="31" t="n">
        <x:v>1</x:v>
      </x:c>
      <x:c r="J16" s="31" t="n">
        <x:v>0</x:v>
      </x:c>
      <x:c r="K16" s="31" t="n">
        <x:v>0</x:v>
      </x:c>
      <x:c r="L16" s="31" t="n">
        <x:v>1</x:v>
      </x:c>
      <x:c r="M16" s="31" t="n">
        <x:v>0</x:v>
      </x:c>
      <x:c r="N16" s="31" t="n">
        <x:v>0</x:v>
      </x:c>
      <x:c r="O16" s="31" t="n">
        <x:v>0</x:v>
      </x:c>
      <x:c r="P16" s="31" t="n">
        <x:v>0</x:v>
      </x:c>
      <x:c r="Q16" s="31" t="n">
        <x:v>0</x:v>
      </x:c>
      <x:c r="R16" s="31" t="n">
        <x:v>1</x:v>
      </x:c>
      <x:c r="S16" s="31" t="n">
        <x:v>1</x:v>
      </x:c>
      <x:c r="T16" s="31" t="n">
        <x:v>0</x:v>
      </x:c>
      <x:c r="U16" s="31" t="n">
        <x:v>0</x:v>
      </x:c>
      <x:c r="V16" s="31" t="n">
        <x:v>0</x:v>
      </x:c>
      <x:c r="W16" s="31" t="n">
        <x:v>0</x:v>
      </x:c>
      <x:c r="X16" s="1"/>
      <x:c r="Y16" s="1"/>
      <x:c r="Z16" s="1"/>
    </x:row>
    <x:row r="17">
      <x:c r="A17" s="31" t="str">
        <x:v>R16</x:v>
      </x:c>
      <x:c r="B17" s="31" t="str">
        <x:v>Có</x:v>
      </x:c>
      <x:c r="C17" s="31" t="n">
        <x:v>0</x:v>
      </x:c>
      <x:c r="D17" s="31" t="n">
        <x:v>1</x:v>
      </x:c>
      <x:c r="E17" s="31" t="n">
        <x:v>0</x:v>
      </x:c>
      <x:c r="F17" s="31" t="n">
        <x:v>0</x:v>
      </x:c>
      <x:c r="G17" s="31" t="n">
        <x:v>0</x:v>
      </x:c>
      <x:c r="H17" s="31" t="n">
        <x:v>0</x:v>
      </x:c>
      <x:c r="I17" s="31" t="n">
        <x:v>1</x:v>
      </x:c>
      <x:c r="J17" s="31" t="n">
        <x:v>0</x:v>
      </x:c>
      <x:c r="K17" s="31" t="n">
        <x:v>0</x:v>
      </x:c>
      <x:c r="L17" s="31" t="n">
        <x:v>0</x:v>
      </x:c>
      <x:c r="M17" s="31" t="n">
        <x:v>0</x:v>
      </x:c>
      <x:c r="N17" s="31" t="n">
        <x:v>0</x:v>
      </x:c>
      <x:c r="O17" s="31" t="n">
        <x:v>0</x:v>
      </x:c>
      <x:c r="P17" s="31" t="n">
        <x:v>0</x:v>
      </x:c>
      <x:c r="Q17" s="31" t="n">
        <x:v>0</x:v>
      </x:c>
      <x:c r="R17" s="31" t="n">
        <x:v>1</x:v>
      </x:c>
      <x:c r="S17" s="31" t="n">
        <x:v>0</x:v>
      </x:c>
      <x:c r="T17" s="31" t="n">
        <x:v>0</x:v>
      </x:c>
      <x:c r="U17" s="31" t="n">
        <x:v>0</x:v>
      </x:c>
      <x:c r="V17" s="31" t="n">
        <x:v>0</x:v>
      </x:c>
      <x:c r="W17" s="31" t="n">
        <x:v>0</x:v>
      </x:c>
      <x:c r="X17" s="1"/>
      <x:c r="Y17" s="1"/>
      <x:c r="Z17" s="1"/>
    </x:row>
    <x:row r="18">
      <x:c r="A18" s="31" t="str">
        <x:v>R17</x:v>
      </x:c>
      <x:c r="B18" s="31" t="str">
        <x:v>Có</x:v>
      </x:c>
      <x:c r="C18" s="31" t="n">
        <x:v>1</x:v>
      </x:c>
      <x:c r="D18" s="31" t="n">
        <x:v>1</x:v>
      </x:c>
      <x:c r="E18" s="31" t="n">
        <x:v>0</x:v>
      </x:c>
      <x:c r="F18" s="31" t="n">
        <x:v>0</x:v>
      </x:c>
      <x:c r="G18" s="31" t="n">
        <x:v>0</x:v>
      </x:c>
      <x:c r="H18" s="31" t="n">
        <x:v>0</x:v>
      </x:c>
      <x:c r="I18" s="31" t="n">
        <x:v>0</x:v>
      </x:c>
      <x:c r="J18" s="31" t="n">
        <x:v>1</x:v>
      </x:c>
      <x:c r="K18" s="31" t="n">
        <x:v>1</x:v>
      </x:c>
      <x:c r="L18" s="31" t="n">
        <x:v>0</x:v>
      </x:c>
      <x:c r="M18" s="31" t="n">
        <x:v>0</x:v>
      </x:c>
      <x:c r="N18" s="31" t="n">
        <x:v>0</x:v>
      </x:c>
      <x:c r="O18" s="31" t="n">
        <x:v>0</x:v>
      </x:c>
      <x:c r="P18" s="31" t="n">
        <x:v>0</x:v>
      </x:c>
      <x:c r="Q18" s="31" t="n">
        <x:v>1</x:v>
      </x:c>
      <x:c r="R18" s="31" t="n">
        <x:v>1</x:v>
      </x:c>
      <x:c r="S18" s="31" t="n">
        <x:v>0</x:v>
      </x:c>
      <x:c r="T18" s="31" t="n">
        <x:v>0</x:v>
      </x:c>
      <x:c r="U18" s="31" t="n">
        <x:v>0</x:v>
      </x:c>
      <x:c r="V18" s="31" t="n">
        <x:v>0</x:v>
      </x:c>
      <x:c r="W18" s="31" t="n">
        <x:v>0</x:v>
      </x:c>
      <x:c r="X18" s="1"/>
      <x:c r="Y18" s="1"/>
      <x:c r="Z18" s="1"/>
    </x:row>
    <x:row r="19">
      <x:c r="A19" s="31" t="str">
        <x:v>R18</x:v>
      </x:c>
      <x:c r="B19" s="31" t="str">
        <x:v>Có</x:v>
      </x:c>
      <x:c r="C19" s="31" t="n">
        <x:v>1</x:v>
      </x:c>
      <x:c r="D19" s="31" t="n">
        <x:v>0</x:v>
      </x:c>
      <x:c r="E19" s="31" t="n">
        <x:v>1</x:v>
      </x:c>
      <x:c r="F19" s="31" t="n">
        <x:v>0</x:v>
      </x:c>
      <x:c r="G19" s="31" t="n">
        <x:v>1</x:v>
      </x:c>
      <x:c r="H19" s="31" t="n">
        <x:v>0</x:v>
      </x:c>
      <x:c r="I19" s="31" t="n">
        <x:v>0</x:v>
      </x:c>
      <x:c r="J19" s="31" t="n">
        <x:v>1</x:v>
      </x:c>
      <x:c r="K19" s="31" t="n">
        <x:v>0</x:v>
      </x:c>
      <x:c r="L19" s="31" t="n">
        <x:v>0</x:v>
      </x:c>
      <x:c r="M19" s="31" t="n">
        <x:v>1</x:v>
      </x:c>
      <x:c r="N19" s="31" t="n">
        <x:v>0</x:v>
      </x:c>
      <x:c r="O19" s="31" t="n">
        <x:v>1</x:v>
      </x:c>
      <x:c r="P19" s="31" t="n">
        <x:v>1</x:v>
      </x:c>
      <x:c r="Q19" s="31" t="n">
        <x:v>0</x:v>
      </x:c>
      <x:c r="R19" s="31" t="n">
        <x:v>0</x:v>
      </x:c>
      <x:c r="S19" s="31" t="n">
        <x:v>1</x:v>
      </x:c>
      <x:c r="T19" s="31" t="n">
        <x:v>0</x:v>
      </x:c>
      <x:c r="U19" s="31" t="n">
        <x:v>1</x:v>
      </x:c>
      <x:c r="V19" s="31" t="n">
        <x:v>1</x:v>
      </x:c>
      <x:c r="W19" s="31" t="n">
        <x:v>0</x:v>
      </x:c>
      <x:c r="X19" s="1"/>
      <x:c r="Y19" s="1"/>
      <x:c r="Z19" s="1"/>
    </x:row>
    <x:row r="20">
      <x:c r="A20" s="31" t="str">
        <x:v>R19</x:v>
      </x:c>
      <x:c r="B20" s="31" t="str">
        <x:v>Có</x:v>
      </x:c>
      <x:c r="C20" s="31" t="n">
        <x:v>1</x:v>
      </x:c>
      <x:c r="D20" s="31" t="n">
        <x:v>1</x:v>
      </x:c>
      <x:c r="E20" s="31" t="n">
        <x:v>0</x:v>
      </x:c>
      <x:c r="F20" s="31" t="n">
        <x:v>0</x:v>
      </x:c>
      <x:c r="G20" s="31" t="n">
        <x:v>1</x:v>
      </x:c>
      <x:c r="H20" s="31" t="n">
        <x:v>0</x:v>
      </x:c>
      <x:c r="I20" s="31" t="n">
        <x:v>0</x:v>
      </x:c>
      <x:c r="J20" s="31" t="n">
        <x:v>0</x:v>
      </x:c>
      <x:c r="K20" s="31" t="n">
        <x:v>0</x:v>
      </x:c>
      <x:c r="L20" s="31" t="n">
        <x:v>1</x:v>
      </x:c>
      <x:c r="M20" s="31" t="n">
        <x:v>0</x:v>
      </x:c>
      <x:c r="N20" s="31" t="n">
        <x:v>0</x:v>
      </x:c>
      <x:c r="O20" s="31" t="n">
        <x:v>1</x:v>
      </x:c>
      <x:c r="P20" s="31" t="n">
        <x:v>0</x:v>
      </x:c>
      <x:c r="Q20" s="31" t="n">
        <x:v>0</x:v>
      </x:c>
      <x:c r="R20" s="31" t="n">
        <x:v>0</x:v>
      </x:c>
      <x:c r="S20" s="31" t="n">
        <x:v>1</x:v>
      </x:c>
      <x:c r="T20" s="31" t="n">
        <x:v>0</x:v>
      </x:c>
      <x:c r="U20" s="31" t="n">
        <x:v>0</x:v>
      </x:c>
      <x:c r="V20" s="31" t="n">
        <x:v>0</x:v>
      </x:c>
      <x:c r="W20" s="31" t="n">
        <x:v>0</x:v>
      </x:c>
      <x:c r="X20" s="1"/>
      <x:c r="Y20" s="1"/>
      <x:c r="Z20" s="1"/>
    </x:row>
    <x:row r="21">
      <x:c r="A21" s="31" t="str">
        <x:v>R20</x:v>
      </x:c>
      <x:c r="B21" s="31" t="str">
        <x:v>Có</x:v>
      </x:c>
      <x:c r="C21" s="31" t="n">
        <x:v>1</x:v>
      </x:c>
      <x:c r="D21" s="31" t="n">
        <x:v>1</x:v>
      </x:c>
      <x:c r="E21" s="31" t="n">
        <x:v>0</x:v>
      </x:c>
      <x:c r="F21" s="31" t="n">
        <x:v>0</x:v>
      </x:c>
      <x:c r="G21" s="31" t="n">
        <x:v>0</x:v>
      </x:c>
      <x:c r="H21" s="31" t="n">
        <x:v>0</x:v>
      </x:c>
      <x:c r="I21" s="31" t="n">
        <x:v>1</x:v>
      </x:c>
      <x:c r="J21" s="31" t="n">
        <x:v>0</x:v>
      </x:c>
      <x:c r="K21" s="31" t="n">
        <x:v>0</x:v>
      </x:c>
      <x:c r="L21" s="31" t="n">
        <x:v>0</x:v>
      </x:c>
      <x:c r="M21" s="31" t="n">
        <x:v>1</x:v>
      </x:c>
      <x:c r="N21" s="31" t="n">
        <x:v>1</x:v>
      </x:c>
      <x:c r="O21" s="31" t="n">
        <x:v>0</x:v>
      </x:c>
      <x:c r="P21" s="31" t="n">
        <x:v>1</x:v>
      </x:c>
      <x:c r="Q21" s="31" t="n">
        <x:v>1</x:v>
      </x:c>
      <x:c r="R21" s="31" t="n">
        <x:v>1</x:v>
      </x:c>
      <x:c r="S21" s="31" t="n">
        <x:v>1</x:v>
      </x:c>
      <x:c r="T21" s="31" t="n">
        <x:v>1</x:v>
      </x:c>
      <x:c r="U21" s="31" t="n">
        <x:v>1</x:v>
      </x:c>
      <x:c r="V21" s="31" t="n">
        <x:v>1</x:v>
      </x:c>
      <x:c r="W21" s="31" t="n">
        <x:v>0</x:v>
      </x:c>
      <x:c r="X21" s="1"/>
      <x:c r="Y21" s="1"/>
      <x:c r="Z21" s="1"/>
    </x:row>
    <x:row r="22">
      <x:c r="A22" s="31" t="str">
        <x:v>R21</x:v>
      </x:c>
      <x:c r="B22" s="31" t="str">
        <x:v>Không</x:v>
      </x:c>
      <x:c r="C22" s="31" t="n">
        <x:v>1</x:v>
      </x:c>
      <x:c r="D22" s="31" t="n">
        <x:v>1</x:v>
      </x:c>
      <x:c r="E22" s="31" t="n">
        <x:v>0</x:v>
      </x:c>
      <x:c r="F22" s="31" t="n">
        <x:v>0</x:v>
      </x:c>
      <x:c r="G22" s="31" t="n">
        <x:v>0</x:v>
      </x:c>
      <x:c r="H22" s="31" t="n">
        <x:v>0</x:v>
      </x:c>
      <x:c r="I22" s="31" t="n">
        <x:v>0</x:v>
      </x:c>
      <x:c r="J22" s="31" t="n">
        <x:v>1</x:v>
      </x:c>
      <x:c r="K22" s="31" t="n">
        <x:v>1</x:v>
      </x:c>
      <x:c r="L22" s="31" t="n">
        <x:v>0</x:v>
      </x:c>
      <x:c r="M22" s="31" t="n">
        <x:v>0</x:v>
      </x:c>
      <x:c r="N22" s="31" t="n">
        <x:v>0</x:v>
      </x:c>
      <x:c r="O22" s="31" t="n">
        <x:v>0</x:v>
      </x:c>
      <x:c r="P22" s="31" t="n">
        <x:v>0</x:v>
      </x:c>
      <x:c r="Q22" s="31" t="n">
        <x:v>0</x:v>
      </x:c>
      <x:c r="R22" s="31" t="n">
        <x:v>1</x:v>
      </x:c>
      <x:c r="S22" s="31" t="n">
        <x:v>0</x:v>
      </x:c>
      <x:c r="T22" s="31" t="n">
        <x:v>1</x:v>
      </x:c>
      <x:c r="U22" s="31" t="n">
        <x:v>0</x:v>
      </x:c>
      <x:c r="V22" s="31" t="n">
        <x:v>1</x:v>
      </x:c>
      <x:c r="W22" s="31" t="n">
        <x:v>0</x:v>
      </x:c>
      <x:c r="X22" s="1"/>
      <x:c r="Y22" s="1"/>
      <x:c r="Z22" s="1"/>
    </x:row>
    <x:row r="23">
      <x:c r="A23" s="31" t="str">
        <x:v>R22</x:v>
      </x:c>
      <x:c r="B23" s="31" t="str">
        <x:v>Không</x:v>
      </x:c>
      <x:c r="C23" s="31" t="n">
        <x:v>1</x:v>
      </x:c>
      <x:c r="D23" s="31" t="n">
        <x:v>1</x:v>
      </x:c>
      <x:c r="E23" s="31" t="n">
        <x:v>0</x:v>
      </x:c>
      <x:c r="F23" s="31" t="n">
        <x:v>0</x:v>
      </x:c>
      <x:c r="G23" s="31" t="n">
        <x:v>0</x:v>
      </x:c>
      <x:c r="H23" s="31" t="n">
        <x:v>0</x:v>
      </x:c>
      <x:c r="I23" s="31" t="n">
        <x:v>0</x:v>
      </x:c>
      <x:c r="J23" s="31" t="n">
        <x:v>0</x:v>
      </x:c>
      <x:c r="K23" s="31" t="n">
        <x:v>0</x:v>
      </x:c>
      <x:c r="L23" s="31" t="n">
        <x:v>0</x:v>
      </x:c>
      <x:c r="M23" s="31" t="n">
        <x:v>0</x:v>
      </x:c>
      <x:c r="N23" s="31" t="n">
        <x:v>0</x:v>
      </x:c>
      <x:c r="O23" s="31" t="n">
        <x:v>0</x:v>
      </x:c>
      <x:c r="P23" s="31" t="n">
        <x:v>0</x:v>
      </x:c>
      <x:c r="Q23" s="31" t="n">
        <x:v>1</x:v>
      </x:c>
      <x:c r="R23" s="31" t="n">
        <x:v>1</x:v>
      </x:c>
      <x:c r="S23" s="31" t="n">
        <x:v>0</x:v>
      </x:c>
      <x:c r="T23" s="31" t="n">
        <x:v>0</x:v>
      </x:c>
      <x:c r="U23" s="31" t="n">
        <x:v>0</x:v>
      </x:c>
      <x:c r="V23" s="31" t="n">
        <x:v>0</x:v>
      </x:c>
      <x:c r="W23" s="31" t="n">
        <x:v>0</x:v>
      </x:c>
      <x:c r="X23" s="1"/>
      <x:c r="Y23" s="1"/>
      <x:c r="Z23" s="1"/>
    </x:row>
    <x:row r="24">
      <x:c r="A24" s="31" t="str">
        <x:v>R23</x:v>
      </x:c>
      <x:c r="B24" s="31" t="str">
        <x:v>Không</x:v>
      </x:c>
      <x:c r="C24" s="31" t="n">
        <x:v>1</x:v>
      </x:c>
      <x:c r="D24" s="31" t="n">
        <x:v>1</x:v>
      </x:c>
      <x:c r="E24" s="31" t="n">
        <x:v>1</x:v>
      </x:c>
      <x:c r="F24" s="31" t="n">
        <x:v>0</x:v>
      </x:c>
      <x:c r="G24" s="31" t="n">
        <x:v>0</x:v>
      </x:c>
      <x:c r="H24" s="31" t="n">
        <x:v>0</x:v>
      </x:c>
      <x:c r="I24" s="31" t="n">
        <x:v>1</x:v>
      </x:c>
      <x:c r="J24" s="31" t="n">
        <x:v>0</x:v>
      </x:c>
      <x:c r="K24" s="31" t="n">
        <x:v>1</x:v>
      </x:c>
      <x:c r="L24" s="31" t="n">
        <x:v>0</x:v>
      </x:c>
      <x:c r="M24" s="31" t="n">
        <x:v>1</x:v>
      </x:c>
      <x:c r="N24" s="31" t="n">
        <x:v>1</x:v>
      </x:c>
      <x:c r="O24" s="31" t="n">
        <x:v>0</x:v>
      </x:c>
      <x:c r="P24" s="31" t="n">
        <x:v>0</x:v>
      </x:c>
      <x:c r="Q24" s="31" t="n">
        <x:v>0</x:v>
      </x:c>
      <x:c r="R24" s="31" t="n">
        <x:v>0</x:v>
      </x:c>
      <x:c r="S24" s="31" t="n">
        <x:v>1</x:v>
      </x:c>
      <x:c r="T24" s="31" t="n">
        <x:v>1</x:v>
      </x:c>
      <x:c r="U24" s="31" t="n">
        <x:v>1</x:v>
      </x:c>
      <x:c r="V24" s="31" t="n">
        <x:v>0</x:v>
      </x:c>
      <x:c r="W24" s="31" t="n">
        <x:v>0</x:v>
      </x:c>
      <x:c r="X24" s="1"/>
      <x:c r="Y24" s="1"/>
      <x:c r="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sheetData>
  <x:pageMargins left="0.7" right="0.7" top="0.75" bottom="0.75" header="0.3" footer="0.3"/>
</x:worksheet>
</file>